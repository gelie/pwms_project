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Instructions" sheetId="1" state="visible" r:id="rId1"/>
    <sheet name="Scenarios" sheetId="2" state="visible" r:id="rId2"/>
    <sheet name="Results" sheetId="3" state="visible" r:id="rId3"/>
    <sheet name="Defect log" sheetId="4" state="visible" r:id="rId4"/>
    <sheet name="Summary" sheetId="5" state="visible" r:id="rId5"/>
    <sheet name="Expected behaviour" sheetId="6" state="visible" r:id="rId6"/>
    <sheet name="Sign-off" sheetId="7" state="visible" r:id="rId7"/>
  </sheets>
  <definedNames>
    <definedName name="_xlnm.Print_Titles" localSheetId="1">'Scenarios'!$3:$3</definedName>
    <definedName name="_xlnm._FilterDatabase" localSheetId="2" hidden="1">'Results'!$A$8:$G$47</definedName>
    <definedName name="_xlnm.Print_Titles" localSheetId="2">'Results'!$8:$9</definedName>
    <definedName name="_xlnm.Print_Titles" localSheetId="3">'Defect log'!$3:$3</definedName>
    <definedName name="_xlnm.Print_Titles" localSheetId="5">'Expected behaviour'!$4:$4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ejaVu Sans"/>
      <b val="1"/>
      <color rgb="001F4E9C"/>
      <sz val="14"/>
    </font>
    <font>
      <name val="DejaVu Sans"/>
      <i val="1"/>
      <color rgb="00555555"/>
      <sz val="9"/>
    </font>
    <font>
      <name val="DejaVu Sans"/>
      <sz val="10"/>
    </font>
    <font>
      <name val="DejaVu Sans"/>
      <b val="1"/>
      <color rgb="00FFFFFF"/>
      <sz val="11"/>
    </font>
    <font>
      <name val="DejaVu Sans"/>
      <b val="1"/>
      <color rgb="00163A73"/>
      <sz val="10"/>
    </font>
    <font>
      <name val="DejaVu Sans"/>
      <b val="1"/>
      <sz val="10"/>
    </font>
    <font>
      <name val="DejaVu Sans"/>
      <b val="1"/>
      <sz val="11"/>
    </font>
  </fonts>
  <fills count="6">
    <fill>
      <patternFill/>
    </fill>
    <fill>
      <patternFill patternType="gray125"/>
    </fill>
    <fill>
      <patternFill patternType="solid">
        <fgColor rgb="001F4E9C"/>
      </patternFill>
    </fill>
    <fill>
      <patternFill patternType="solid">
        <fgColor rgb="00FFFFFF"/>
      </patternFill>
    </fill>
    <fill>
      <patternFill patternType="solid">
        <fgColor rgb="00EEF3F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8D3E4"/>
      </left>
      <right style="thin">
        <color rgb="00C8D3E4"/>
      </right>
      <top style="thin">
        <color rgb="00C8D3E4"/>
      </top>
      <bottom style="thin">
        <color rgb="00C8D3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inden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E3F3E5"/>
        </patternFill>
      </fill>
    </dxf>
    <dxf>
      <fill>
        <patternFill patternType="solid">
          <fgColor rgb="00FBE0DD"/>
        </patternFill>
      </fill>
    </dxf>
    <dxf>
      <fill>
        <patternFill patternType="solid">
          <fgColor rgb="00FDF3D7"/>
        </patternFill>
      </fill>
    </dxf>
    <dxf>
      <fill>
        <patternFill patternType="solid">
          <f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8" customWidth="1" min="3" max="3"/>
  </cols>
  <sheetData>
    <row r="1">
      <c r="A1" s="1" t="inlineStr">
        <is>
          <t>User Acceptance Testing — PWMS</t>
        </is>
      </c>
    </row>
    <row r="2">
      <c r="A2" s="2" t="inlineStr">
        <is>
          <t>IRPD section · Delegation Reports · International Resolutions · International Agreements</t>
        </is>
      </c>
    </row>
    <row r="4" ht="39" customHeight="1">
      <c r="B4" s="3" t="inlineStr">
        <is>
          <t>What this workbook is: the results side of the printable acceptance form. The form and its PDF remain the record that is signed; this workbook is where the section's testers record what they found, and where the results are rolled up.</t>
        </is>
      </c>
    </row>
    <row r="6" ht="26" customHeight="1">
      <c r="B6" s="3" t="inlineStr">
        <is>
          <t>Generated from UAT Form.html. The form is the source of truth for the scenarios, so change the form and rebuild rather than editing the scenario rows here.</t>
        </is>
      </c>
    </row>
    <row r="9" ht="18" customHeight="1">
      <c r="A9" s="4" t="inlineStr">
        <is>
          <t>How to use it</t>
        </is>
      </c>
    </row>
    <row r="10" ht="26" customHeight="1">
      <c r="B10" s="3" t="inlineStr">
        <is>
          <t>•  On the Results sheet, type each tester's name at the top of their own column (columns H onward). One column per person.</t>
        </is>
      </c>
    </row>
    <row r="11" ht="26" customHeight="1">
      <c r="B11" s="3" t="inlineStr">
        <is>
          <t>•  Work down the rows and record your result in your own column — choose P, F, B or N from the drop-down. Leave a cell blank if you have not tested that scenario yet.</t>
        </is>
      </c>
    </row>
    <row r="12" ht="26" customHeight="1">
      <c r="B12" s="3" t="inlineStr">
        <is>
          <t>•  The Scenarios sheet has the full steps and expected result for each row: read it there, then record on Results. Expected behaviour lists the deliberate behaviours that must not be logged as defects.</t>
        </is>
      </c>
    </row>
    <row r="13" ht="26" customHeight="1">
      <c r="B13" s="3" t="inlineStr">
        <is>
          <t>•  Where a result is F or B, add a row to the Defect log and give the scenario's ID in its Scenario column, so the defect and the scenario tie together.</t>
        </is>
      </c>
    </row>
    <row r="14" ht="26" customHeight="1">
      <c r="B14" s="3" t="inlineStr">
        <is>
          <t>•  The Summary sheet counts everything as you type and tells you whether the acceptance criteria are met. Complete the Sign-off sheet when the section is ready to decide.</t>
        </is>
      </c>
    </row>
    <row r="16" ht="18" customHeight="1">
      <c r="A16" s="4" t="inlineStr">
        <is>
          <t>Result key</t>
        </is>
      </c>
    </row>
    <row r="17">
      <c r="B17" s="5" t="inlineStr">
        <is>
          <t>P</t>
        </is>
      </c>
      <c r="C17" s="3" t="inlineStr">
        <is>
          <t>Pass: as expected</t>
        </is>
      </c>
    </row>
    <row r="18">
      <c r="B18" s="5" t="inlineStr">
        <is>
          <t>F</t>
        </is>
      </c>
      <c r="C18" s="3" t="inlineStr">
        <is>
          <t>Fail: not as expected</t>
        </is>
      </c>
    </row>
    <row r="19">
      <c r="B19" s="5" t="inlineStr">
        <is>
          <t>B</t>
        </is>
      </c>
      <c r="C19" s="3" t="inlineStr">
        <is>
          <t>Blocked: could not be carried out</t>
        </is>
      </c>
    </row>
    <row r="20">
      <c r="B20" s="5" t="inlineStr">
        <is>
          <t>N</t>
        </is>
      </c>
      <c r="C20" s="3" t="inlineStr">
        <is>
          <t>Not applicable</t>
        </is>
      </c>
    </row>
    <row r="22" ht="18" customHeight="1">
      <c r="A22" s="4" t="inlineStr">
        <is>
          <t>Severity — grade every defect you log</t>
        </is>
      </c>
    </row>
    <row r="23">
      <c r="B23" s="5" t="inlineStr">
        <is>
          <t>S1 — Blocking</t>
        </is>
      </c>
      <c r="C23" s="3" t="inlineStr">
        <is>
          <t>The section cannot carry out real work, or data is lost or corrupted.</t>
        </is>
      </c>
    </row>
    <row r="24">
      <c r="B24" s="5" t="inlineStr">
        <is>
          <t>S2 — Major</t>
        </is>
      </c>
      <c r="C24" s="3" t="inlineStr">
        <is>
          <t>A core task gives the wrong result and there is no acceptable workaround.</t>
        </is>
      </c>
    </row>
    <row r="25">
      <c r="B25" s="5" t="inlineStr">
        <is>
          <t>S3 — Minor</t>
        </is>
      </c>
      <c r="C25" s="3" t="inlineStr">
        <is>
          <t>The task works but with an awkward workaround, or a field, label or figure is wrong.</t>
        </is>
      </c>
    </row>
    <row r="26">
      <c r="B26" s="5" t="inlineStr">
        <is>
          <t>S4 — Cosmetic</t>
        </is>
      </c>
      <c r="C26" s="3" t="inlineStr">
        <is>
          <t>Appearance or wording only; nothing about the work changes.</t>
        </is>
      </c>
    </row>
    <row r="28" ht="18" customHeight="1">
      <c r="A28" s="4" t="inlineStr">
        <is>
          <t>Test details</t>
        </is>
      </c>
    </row>
    <row r="29">
      <c r="B29" s="6" t="inlineStr">
        <is>
          <t>Environment (URL)</t>
        </is>
      </c>
      <c r="C29" s="7" t="n"/>
    </row>
    <row r="30">
      <c r="B30" s="6" t="inlineStr">
        <is>
          <t>Build / version tested</t>
        </is>
      </c>
      <c r="C30" s="7" t="n"/>
    </row>
    <row r="31">
      <c r="B31" s="6" t="inlineStr">
        <is>
          <t>Test round (1st / re-test / final)</t>
        </is>
      </c>
      <c r="C31" s="7" t="n"/>
    </row>
    <row r="32">
      <c r="B32" s="6" t="inlineStr">
        <is>
          <t>Date(s) of testing</t>
        </is>
      </c>
      <c r="C32" s="7" t="n"/>
    </row>
  </sheetData>
  <mergeCells count="12">
    <mergeCell ref="B13:C13"/>
    <mergeCell ref="A28:C28"/>
    <mergeCell ref="B6:C6"/>
    <mergeCell ref="A1:C1"/>
    <mergeCell ref="B11:C11"/>
    <mergeCell ref="B10:C10"/>
    <mergeCell ref="A22:C22"/>
    <mergeCell ref="A9:C9"/>
    <mergeCell ref="B14:C14"/>
    <mergeCell ref="B4:C4"/>
    <mergeCell ref="A16:C16"/>
    <mergeCell ref="B12:C12"/>
  </mergeCells>
  <pageMargins left="0.4" right="0.4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68" customWidth="1" min="4" max="4"/>
    <col width="68" customWidth="1" min="5" max="5"/>
  </cols>
  <sheetData>
    <row r="1">
      <c r="A1" s="1" t="inlineStr">
        <is>
          <t>Scenarios</t>
        </is>
      </c>
    </row>
    <row r="2">
      <c r="A2" s="2" t="inlineStr">
        <is>
          <t>The full steps and acceptance criteria behind each row of Results</t>
        </is>
      </c>
    </row>
    <row r="3">
      <c r="A3" s="8" t="inlineStr">
        <is>
          <t>ID</t>
        </is>
      </c>
      <c r="B3" s="8" t="inlineStr">
        <is>
          <t>Area</t>
        </is>
      </c>
      <c r="C3" s="8" t="inlineStr">
        <is>
          <t>Critical</t>
        </is>
      </c>
      <c r="D3" s="8" t="inlineStr">
        <is>
          <t>What to do</t>
        </is>
      </c>
      <c r="E3" s="8" t="inlineStr">
        <is>
          <t>Expected result (acceptance criterion)</t>
        </is>
      </c>
    </row>
    <row r="4" ht="26" customHeight="1">
      <c r="A4" s="9" t="inlineStr">
        <is>
          <t>A1</t>
        </is>
      </c>
      <c r="B4" s="10" t="inlineStr">
        <is>
          <t>A — Access and sign-in</t>
        </is>
      </c>
      <c r="C4" s="11" t="inlineStr">
        <is>
          <t>Yes</t>
        </is>
      </c>
      <c r="D4" s="10" t="inlineStr">
        <is>
          <t>Open the environment and sign in with your normal Parliament directory account.</t>
        </is>
      </c>
      <c r="E4" s="10" t="inlineStr">
        <is>
          <t>You reach the Dashboard. No separate PWMS password is asked for.</t>
        </is>
      </c>
    </row>
    <row r="5" ht="52" customHeight="1">
      <c r="A5" s="9" t="inlineStr">
        <is>
          <t>A2</t>
        </is>
      </c>
      <c r="B5" s="12" t="inlineStr">
        <is>
          <t>A — Access and sign-in</t>
        </is>
      </c>
      <c r="C5" s="13" t="inlineStr"/>
      <c r="D5" s="12" t="inlineStr">
        <is>
          <t>Read the Dashboard: the four figures, then the four work lists.</t>
        </is>
      </c>
      <c r="E5" s="12" t="inlineStr">
        <is>
          <t>The figures are Total workflows, Assigned to you, Due in 7 days and Overdue. The lists are Assigned to you, Due soon, Overdue and Awaiting your committees, and the records in them are ones you recognise as yours.</t>
        </is>
      </c>
    </row>
    <row r="6" ht="39" customHeight="1">
      <c r="A6" s="9" t="inlineStr">
        <is>
          <t>A3</t>
        </is>
      </c>
      <c r="B6" s="10" t="inlineStr">
        <is>
          <t>A — Access and sign-in</t>
        </is>
      </c>
      <c r="C6" s="11" t="inlineStr">
        <is>
          <t>Yes</t>
        </is>
      </c>
      <c r="D6" s="10" t="inlineStr">
        <is>
          <t>Open the three instrument registers and the cross-instrument Workflows list.</t>
        </is>
      </c>
      <c r="E6" s="10" t="inlineStr">
        <is>
          <t>You see the records you are entitled to and no others. A record you may not open does not appear in any list, or in the report builder's filter lists.</t>
        </is>
      </c>
    </row>
    <row r="7" ht="26" customHeight="1">
      <c r="A7" s="9" t="inlineStr">
        <is>
          <t>A4</t>
        </is>
      </c>
      <c r="B7" s="12" t="inlineStr">
        <is>
          <t>A — Access and sign-in</t>
        </is>
      </c>
      <c r="C7" s="13" t="inlineStr"/>
      <c r="D7" s="12" t="inlineStr">
        <is>
          <t>Open Workflows → Create a workflow, then each register's New button.</t>
        </is>
      </c>
      <c r="E7" s="12" t="inlineStr">
        <is>
          <t>New Report, New Resolution and New Agreement are all offered to you.</t>
        </is>
      </c>
    </row>
    <row r="8" ht="52" customHeight="1">
      <c r="A8" s="9" t="inlineStr">
        <is>
          <t>B1</t>
        </is>
      </c>
      <c r="B8" s="10" t="inlineStr">
        <is>
          <t>B — Reading and monitoring a record</t>
        </is>
      </c>
      <c r="C8" s="11" t="inlineStr"/>
      <c r="D8" s="10" t="inlineStr">
        <is>
          <t>Open a delegation report's Overview tab.</t>
        </is>
      </c>
      <c r="E8" s="10" t="inlineStr">
        <is>
          <t>It states the title, owner, who it is assigned to, its stage, priority and due date, its description, the engagement dates and location, the report document link — and carries the BR03 updates card.</t>
        </is>
      </c>
    </row>
    <row r="9" ht="39" customHeight="1">
      <c r="A9" s="9" t="inlineStr">
        <is>
          <t>B2</t>
        </is>
      </c>
      <c r="B9" s="12" t="inlineStr">
        <is>
          <t>B — Reading and monitoring a record</t>
        </is>
      </c>
      <c r="C9" s="13" t="inlineStr"/>
      <c r="D9" s="12" t="inlineStr">
        <is>
          <t>Open the Progress tab.</t>
        </is>
      </c>
      <c r="E9" s="12" t="inlineStr">
        <is>
          <t>A completion percentage, the stage sequence with the current stage marked, and a journey naming who moved the record, when and with what comment.</t>
        </is>
      </c>
    </row>
    <row r="10" ht="39" customHeight="1">
      <c r="A10" s="9" t="inlineStr">
        <is>
          <t>B3</t>
        </is>
      </c>
      <c r="B10" s="10" t="inlineStr">
        <is>
          <t>B — Reading and monitoring a record</t>
        </is>
      </c>
      <c r="C10" s="11" t="inlineStr"/>
      <c r="D10" s="10" t="inlineStr">
        <is>
          <t>Change the record's title, save, then open its Timeline tab.</t>
        </is>
      </c>
      <c r="E10" s="10" t="inlineStr">
        <is>
          <t>The edit appears in the merged history with your name and the time, alongside every stage change. Nothing on the record changes without appearing here.</t>
        </is>
      </c>
    </row>
    <row r="11" ht="26" customHeight="1">
      <c r="A11" s="9" t="inlineStr">
        <is>
          <t>B4</t>
        </is>
      </c>
      <c r="B11" s="12" t="inlineStr">
        <is>
          <t>B — Reading and monitoring a record</t>
        </is>
      </c>
      <c r="C11" s="13" t="inlineStr"/>
      <c r="D11" s="12" t="inlineStr">
        <is>
          <t>Find a record whose deadline has passed while it is still open (set a past deadline on a training record if needed).</t>
        </is>
      </c>
      <c r="E11" s="12" t="inlineStr">
        <is>
          <t>It is flagged overdue on the record and in the register. A record in a final stage is never shown as overdue.</t>
        </is>
      </c>
    </row>
    <row r="12" ht="39" customHeight="1">
      <c r="A12" s="9" t="inlineStr">
        <is>
          <t>C1</t>
        </is>
      </c>
      <c r="B12" s="10" t="inlineStr">
        <is>
          <t>C — Capturing a delegation report</t>
        </is>
      </c>
      <c r="C12" s="11" t="inlineStr">
        <is>
          <t>Yes</t>
        </is>
      </c>
      <c r="D12" s="10" t="inlineStr">
        <is>
          <t>New Report. Complete the title, description, deadline and priority, then the engagement name, country, city, start and end dates and the report document link. Create report.</t>
        </is>
      </c>
      <c r="E12" s="10" t="inlineStr">
        <is>
          <t>Confirmed. The record is given a DR-&lt;year&gt;-&lt;sequence&gt; reference by the system and starts at Awaiting PGIR approval .</t>
        </is>
      </c>
    </row>
    <row r="13" ht="26" customHeight="1">
      <c r="A13" s="9" t="inlineStr">
        <is>
          <t>C2</t>
        </is>
      </c>
      <c r="B13" s="12" t="inlineStr">
        <is>
          <t>C — Capturing a delegation report</t>
        </is>
      </c>
      <c r="C13" s="13" t="inlineStr"/>
      <c r="D13" s="12" t="inlineStr">
        <is>
          <t>Try to save a start date in the future. Then try an end date earlier than the start date.</t>
        </is>
      </c>
      <c r="E13" s="12" t="inlineStr">
        <is>
          <t>Both are refused, with the reason given on the field. Neither is saved.</t>
        </is>
      </c>
    </row>
    <row r="14" ht="39" customHeight="1">
      <c r="A14" s="9" t="inlineStr">
        <is>
          <t>C3</t>
        </is>
      </c>
      <c r="B14" s="10" t="inlineStr">
        <is>
          <t>C — Capturing a delegation report</t>
        </is>
      </c>
      <c r="C14" s="11" t="inlineStr"/>
      <c r="D14" s="10" t="inlineStr">
        <is>
          <t>Add a Parliamentary Delegation Member and a Support Official, each with the role they held. Then take one of them off the delegation.</t>
        </is>
      </c>
      <c r="E14" s="10" t="inlineStr">
        <is>
          <t>Both appear with their type and role. The person taken off stays listed, struck through, showing who removed them and when.</t>
        </is>
      </c>
    </row>
    <row r="15" ht="39" customHeight="1">
      <c r="A15" s="9" t="inlineStr">
        <is>
          <t>C4</t>
        </is>
      </c>
      <c r="B15" s="12" t="inlineStr">
        <is>
          <t>C — Capturing a delegation report</t>
        </is>
      </c>
      <c r="C15" s="13" t="inlineStr"/>
      <c r="D15" s="12" t="inlineStr">
        <is>
          <t>On the report's Related tab, use Resolutions adopted → Add Resolution to add a resolution (title, number, adoption date).</t>
        </is>
      </c>
      <c r="E15" s="12" t="inlineStr">
        <is>
          <t>The resolution is created as an international resolution, owned by you and linked to this report, and is listed on the card.</t>
        </is>
      </c>
    </row>
    <row r="16" ht="26" customHeight="1">
      <c r="A16" s="9" t="inlineStr">
        <is>
          <t>C5</t>
        </is>
      </c>
      <c r="B16" s="10" t="inlineStr">
        <is>
          <t>C — Capturing a delegation report</t>
        </is>
      </c>
      <c r="C16" s="11" t="inlineStr"/>
      <c r="D16" s="10" t="inlineStr">
        <is>
          <t>Try to capture a second resolution using a number that is already in use.</t>
        </is>
      </c>
      <c r="E16" s="10" t="inlineStr">
        <is>
          <t>Refused, with a message that the resolution number already exists.</t>
        </is>
      </c>
    </row>
    <row r="17" ht="26" customHeight="1">
      <c r="A17" s="9" t="inlineStr">
        <is>
          <t>D1</t>
        </is>
      </c>
      <c r="B17" s="12" t="inlineStr">
        <is>
          <t>D — Capturing a resolution and an agreement</t>
        </is>
      </c>
      <c r="C17" s="13" t="inlineStr"/>
      <c r="D17" s="12" t="inlineStr">
        <is>
          <t>New Resolution, with no parent report: give the number, title, adoption date, responsible group and resolution text.</t>
        </is>
      </c>
      <c r="E17" s="12" t="inlineStr">
        <is>
          <t>Created successfully at the stage Captured . You supply the resolution number; the system does not generate it.</t>
        </is>
      </c>
    </row>
    <row r="18" ht="39" customHeight="1">
      <c r="A18" s="9" t="inlineStr">
        <is>
          <t>D2</t>
        </is>
      </c>
      <c r="B18" s="10" t="inlineStr">
        <is>
          <t>D — Capturing a resolution and an agreement</t>
        </is>
      </c>
      <c r="C18" s="11" t="inlineStr"/>
      <c r="D18" s="10" t="inlineStr">
        <is>
          <t>New Agreement: set the agreement type (Section 231(2) or 231(3)), the ATC tabling date, the submitting department and the referral committees.</t>
        </is>
      </c>
      <c r="E18" s="10" t="inlineStr">
        <is>
          <t>Created successfully, starting at Agreement Tabled – referred to Committee — not at the first stage printed on the diagram.</t>
        </is>
      </c>
    </row>
    <row r="19" ht="39" customHeight="1">
      <c r="A19" s="9" t="inlineStr">
        <is>
          <t>D3</t>
        </is>
      </c>
      <c r="B19" s="12" t="inlineStr">
        <is>
          <t>D — Capturing a resolution and an agreement</t>
        </is>
      </c>
      <c r="C19" s="13" t="inlineStr"/>
      <c r="D19" s="12" t="inlineStr">
        <is>
          <t>As the responsible minister, try to link a person who does not hold a current executive appointment. Then record that person's name in the responsible-minister name field instead.</t>
        </is>
      </c>
      <c r="E19" s="12" t="inlineStr">
        <is>
          <t>The link is refused, with the reason stated. The name field saves, so an agreement signed by a former minister can still be recorded accurately.</t>
        </is>
      </c>
    </row>
    <row r="20" ht="39" customHeight="1">
      <c r="A20" s="9" t="inlineStr">
        <is>
          <t>E1</t>
        </is>
      </c>
      <c r="B20" s="10" t="inlineStr">
        <is>
          <t>E — Moving a record on, and the ATC publication</t>
        </is>
      </c>
      <c r="C20" s="11" t="inlineStr">
        <is>
          <t>Yes</t>
        </is>
      </c>
      <c r="D20" s="10" t="inlineStr">
        <is>
          <t>On a report at Tabled and referred to Committee with no ATC update recorded, open Status → Close – House approved.</t>
        </is>
      </c>
      <c r="E20" s="10" t="inlineStr">
        <is>
          <t>The confirmation page refuses it, headed This transition cannot be taken yet , and states that an ATC update published event is required. The confirm button is not available.</t>
        </is>
      </c>
    </row>
    <row r="21" ht="39" customHeight="1">
      <c r="A21" s="9" t="inlineStr">
        <is>
          <t>E2</t>
        </is>
      </c>
      <c r="B21" s="12" t="inlineStr">
        <is>
          <t>E — Moving a record on, and the ATC publication</t>
        </is>
      </c>
      <c r="C21" s="13" t="inlineStr">
        <is>
          <t>Yes</t>
        </is>
      </c>
      <c r="D21" s="12" t="inlineStr">
        <is>
          <t>On the same report's Overview tab, use BR03 updates → Add update. Give the date and any one ATC detail (reference, publication date, page or document link). Record update.</t>
        </is>
      </c>
      <c r="E21" s="12" t="inlineStr">
        <is>
          <t>Confirmed, and PWMS states the report may now be closed from the Status menu. The update is listed in the report's update history and the ATC reference shows on Overview.</t>
        </is>
      </c>
    </row>
    <row r="22" ht="39" customHeight="1">
      <c r="A22" s="9" t="inlineStr">
        <is>
          <t>E3</t>
        </is>
      </c>
      <c r="B22" s="10" t="inlineStr">
        <is>
          <t>E — Moving a record on, and the ATC publication</t>
        </is>
      </c>
      <c r="C22" s="11" t="inlineStr">
        <is>
          <t>Yes</t>
        </is>
      </c>
      <c r="D22" s="10" t="inlineStr">
        <is>
          <t>Now open Status → Close – House approved, add a comment, and confirm the change.</t>
        </is>
      </c>
      <c r="E22" s="10" t="inlineStr">
        <is>
          <t>The move is accepted, and you land on the Timeline showing the move, your name and your comment. The record shows as closed and stops being flagged overdue.</t>
        </is>
      </c>
    </row>
    <row r="23" ht="39" customHeight="1">
      <c r="A23" s="9" t="inlineStr">
        <is>
          <t>E4</t>
        </is>
      </c>
      <c r="B23" s="12" t="inlineStr">
        <is>
          <t>E — Moving a record on, and the ATC publication</t>
        </is>
      </c>
      <c r="C23" s="13" t="inlineStr"/>
      <c r="D23" s="12" t="inlineStr">
        <is>
          <t>Confirm with the administrator (or a colleague in a committee the record was referred to) what that committee can do on a record while the referral is open.</t>
        </is>
      </c>
      <c r="E23" s="12" t="inlineStr">
        <is>
          <t>The committee can read and edit the record, but is not offered the Status menu — moving a record on remains the owning section's job.</t>
        </is>
      </c>
    </row>
    <row r="24" ht="39" customHeight="1">
      <c r="A24" s="9" t="inlineStr">
        <is>
          <t>F1</t>
        </is>
      </c>
      <c r="B24" s="10" t="inlineStr">
        <is>
          <t>F — Referrals</t>
        </is>
      </c>
      <c r="C24" s="11" t="inlineStr"/>
      <c r="D24" s="10" t="inlineStr">
        <is>
          <t>On a record, open the Referrals tab → Add Referral. Choose a committee, set the response due date, and say what the committee should consider. Send referral.</t>
        </is>
      </c>
      <c r="E24" s="10" t="inlineStr">
        <is>
          <t>Confirmed. The referral is listed as open with its due date, and the committee's members are notified (bell, and email where configured).</t>
        </is>
      </c>
    </row>
    <row r="25" ht="39" customHeight="1">
      <c r="A25" s="9" t="inlineStr">
        <is>
          <t>F2</t>
        </is>
      </c>
      <c r="B25" s="12" t="inlineStr">
        <is>
          <t>F — Referrals</t>
        </is>
      </c>
      <c r="C25" s="13" t="inlineStr">
        <is>
          <t>Yes</t>
        </is>
      </c>
      <c r="D25" s="12" t="inlineStr">
        <is>
          <t>With the committee (or the administrator), confirm what access the referral gave them to the record.</t>
        </is>
      </c>
      <c r="E25" s="12" t="inlineStr">
        <is>
          <t>The committee can read and edit the record while the referral is open, and keeps view after it closes. It is not given the right to move the record on.</t>
        </is>
      </c>
    </row>
    <row r="26" ht="39" customHeight="1">
      <c r="A26" s="9" t="inlineStr">
        <is>
          <t>F3</t>
        </is>
      </c>
      <c r="B26" s="10" t="inlineStr">
        <is>
          <t>F — Referrals</t>
        </is>
      </c>
      <c r="C26" s="11" t="inlineStr"/>
      <c r="D26" s="10" t="inlineStr">
        <is>
          <t>Record an answer to the referral (a response document link and notes). Then raise a second referral and withdraw it, giving a reason.</t>
        </is>
      </c>
      <c r="E26" s="10" t="inlineStr">
        <is>
          <t>The first is recorded as answered, with who answered and when. The second is recorded as withdrawn, with the reason and who withdrew it.</t>
        </is>
      </c>
    </row>
    <row r="27" ht="39" customHeight="1">
      <c r="A27" s="9" t="inlineStr">
        <is>
          <t>F4</t>
        </is>
      </c>
      <c r="B27" s="12" t="inlineStr">
        <is>
          <t>F — Referrals</t>
        </is>
      </c>
      <c r="C27" s="13" t="inlineStr"/>
      <c r="D27" s="12" t="inlineStr">
        <is>
          <t>With the administrator, check that a referral due within 24 hours raises a reminder (needs the background worker and mail service to be configured).</t>
        </is>
      </c>
      <c r="E27" s="12" t="inlineStr">
        <is>
          <t>A reminder is sent to the committee and recorded against the referral. Mark N/A if email is not yet configured for the environment.</t>
        </is>
      </c>
    </row>
    <row r="28" ht="26" customHeight="1">
      <c r="A28" s="9" t="inlineStr">
        <is>
          <t>G1</t>
        </is>
      </c>
      <c r="B28" s="10" t="inlineStr">
        <is>
          <t>G — Documents</t>
        </is>
      </c>
      <c r="C28" s="11" t="inlineStr"/>
      <c r="D28" s="10" t="inlineStr">
        <is>
          <t>Attachments tab → Add attachment. Browse your sites and libraries and attach a document that already exists in SharePoint.</t>
        </is>
      </c>
      <c r="E28" s="10" t="inlineStr">
        <is>
          <t>The document is listed against the record with its type, folder, who attached it and when.</t>
        </is>
      </c>
    </row>
    <row r="29" ht="26" customHeight="1">
      <c r="A29" s="9" t="inlineStr">
        <is>
          <t>G2</t>
        </is>
      </c>
      <c r="B29" s="12" t="inlineStr">
        <is>
          <t>G — Documents</t>
        </is>
      </c>
      <c r="C29" s="13" t="inlineStr"/>
      <c r="D29" s="12" t="inlineStr">
        <is>
          <t>In the same panel, upload a new file into a folder, choosing an attachment type first.</t>
        </is>
      </c>
      <c r="E29" s="12" t="inlineStr">
        <is>
          <t>Confirmed. The file is placed in SharePoint and attached to the record in one step.</t>
        </is>
      </c>
    </row>
    <row r="30" ht="26" customHeight="1">
      <c r="A30" s="9" t="inlineStr">
        <is>
          <t>G3</t>
        </is>
      </c>
      <c r="B30" s="10" t="inlineStr">
        <is>
          <t>G — Documents</t>
        </is>
      </c>
      <c r="C30" s="11" t="inlineStr">
        <is>
          <t>Yes</t>
        </is>
      </c>
      <c r="D30" s="10" t="inlineStr">
        <is>
          <t>Select an attached document's name to open it.</t>
        </is>
      </c>
      <c r="E30" s="10" t="inlineStr">
        <is>
          <t>It opens in a new tab. You are not asked to sign in to SharePoint.</t>
        </is>
      </c>
    </row>
    <row r="31" ht="39" customHeight="1">
      <c r="A31" s="9" t="inlineStr">
        <is>
          <t>G4</t>
        </is>
      </c>
      <c r="B31" s="12" t="inlineStr">
        <is>
          <t>G — Documents</t>
        </is>
      </c>
      <c r="C31" s="13" t="inlineStr"/>
      <c r="D31" s="12" t="inlineStr">
        <is>
          <t>Open a document's Versions panel. Then upload a revised copy using the same file name into the same folder.</t>
        </is>
      </c>
      <c r="E31" s="12" t="inlineStr">
        <is>
          <t>The version history lists the versions with a download for each. The revised copy is recorded as a new version of the same document, not as a second document.</t>
        </is>
      </c>
    </row>
    <row r="32" ht="39" customHeight="1">
      <c r="A32" s="9" t="inlineStr">
        <is>
          <t>G5</t>
        </is>
      </c>
      <c r="B32" s="10" t="inlineStr">
        <is>
          <t>G — Documents</t>
        </is>
      </c>
      <c r="C32" s="11" t="inlineStr"/>
      <c r="D32" s="10" t="inlineStr">
        <is>
          <t>Detach an attached document, confirming the prompt.</t>
        </is>
      </c>
      <c r="E32" s="10" t="inlineStr">
        <is>
          <t>The link is removed from the record. The file and its versions remain in SharePoint, and the detachment is recorded on the record's history.</t>
        </is>
      </c>
    </row>
    <row r="33" ht="26" customHeight="1">
      <c r="A33" s="9" t="inlineStr">
        <is>
          <t>H1</t>
        </is>
      </c>
      <c r="B33" s="12" t="inlineStr">
        <is>
          <t>H — Notes</t>
        </is>
      </c>
      <c r="C33" s="13" t="inlineStr"/>
      <c r="D33" s="12" t="inlineStr">
        <is>
          <t>Notes tab → Add Note, write a note and save it.</t>
        </is>
      </c>
      <c r="E33" s="12" t="inlineStr">
        <is>
          <t>The note is listed with your name and the date and time it was recorded.</t>
        </is>
      </c>
    </row>
    <row r="34" ht="26" customHeight="1">
      <c r="A34" s="9" t="inlineStr">
        <is>
          <t>H2</t>
        </is>
      </c>
      <c r="B34" s="10" t="inlineStr">
        <is>
          <t>H — Notes</t>
        </is>
      </c>
      <c r="C34" s="11" t="inlineStr"/>
      <c r="D34" s="10" t="inlineStr">
        <is>
          <t>Ask a colleague to try to edit or delete the note you just wrote.</t>
        </is>
      </c>
      <c r="E34" s="10" t="inlineStr">
        <is>
          <t>They cannot change your note; they can add their own instead. A note belongs to its author.</t>
        </is>
      </c>
    </row>
    <row r="35" ht="52" customHeight="1">
      <c r="A35" s="9" t="inlineStr">
        <is>
          <t>I1</t>
        </is>
      </c>
      <c r="B35" s="12" t="inlineStr">
        <is>
          <t>I — Reporting, exports and sharing</t>
        </is>
      </c>
      <c r="C35" s="13" t="inlineStr">
        <is>
          <t>Yes</t>
        </is>
      </c>
      <c r="D35" s="12" t="inlineStr">
        <is>
          <t>Reports → Report builder. Filter by workflow type, state, period and overdue only, then run the report.</t>
        </is>
      </c>
      <c r="E35" s="12" t="inlineStr">
        <is>
          <t>The preview shows the record count, the four summary figures, and the matching register. It contains only records you are permitted to open — and the filter lists offer no values from records you cannot see.</t>
        </is>
      </c>
    </row>
    <row r="36" ht="52" customHeight="1">
      <c r="A36" s="9" t="inlineStr">
        <is>
          <t>I2</t>
        </is>
      </c>
      <c r="B36" s="10" t="inlineStr">
        <is>
          <t>I — Reporting, exports and sharing</t>
        </is>
      </c>
      <c r="C36" s="11" t="inlineStr"/>
      <c r="D36" s="10" t="inlineStr">
        <is>
          <t>Export the same report as Excel, PDF, Web page and CSV.</t>
        </is>
      </c>
      <c r="E36" s="10" t="inlineStr">
        <is>
          <t>All four download and open. The CSV carries the register only; the other three carry the summary, the breakdowns, the register, the activity and the referrals, whichever report type was selected.</t>
        </is>
      </c>
    </row>
    <row r="37" ht="26" customHeight="1">
      <c r="A37" s="9" t="inlineStr">
        <is>
          <t>I3</t>
        </is>
      </c>
      <c r="B37" s="12" t="inlineStr">
        <is>
          <t>I — Reporting, exports and sharing</t>
        </is>
      </c>
      <c r="C37" s="13" t="inlineStr"/>
      <c r="D37" s="12" t="inlineStr">
        <is>
          <t>Open a record and use its Document menu to produce a PDF.</t>
        </is>
      </c>
      <c r="E37" s="12" t="inlineStr">
        <is>
          <t>A formal document for that one instrument downloads, showing its facts, people, referrals, documents and history.</t>
        </is>
      </c>
    </row>
    <row r="38" ht="39" customHeight="1">
      <c r="A38" s="9" t="inlineStr">
        <is>
          <t>I4</t>
        </is>
      </c>
      <c r="B38" s="10" t="inlineStr">
        <is>
          <t>I — Reporting, exports and sharing</t>
        </is>
      </c>
      <c r="C38" s="11" t="inlineStr"/>
      <c r="D38" s="10" t="inlineStr">
        <is>
          <t>On the report preview, select Share . Give it a name, an expiry and recipient addresses, then create the link. Open the link in a private window.</t>
        </is>
      </c>
      <c r="E38" s="10" t="inlineStr">
        <is>
          <t>The recipient must sign in to PWMS, then sees the report read-only showing the creator's figures. The Share button is not offered to them.</t>
        </is>
      </c>
    </row>
    <row r="39" ht="52" customHeight="1">
      <c r="A39" s="9" t="inlineStr">
        <is>
          <t>I5</t>
        </is>
      </c>
      <c r="B39" s="12" t="inlineStr">
        <is>
          <t>I — Reporting, exports and sharing</t>
        </is>
      </c>
      <c r="C39" s="13" t="inlineStr"/>
      <c r="D39" s="12" t="inlineStr">
        <is>
          <t>Open the alert bell. Open one alert. Then use Mark all read.</t>
        </is>
      </c>
      <c r="E39" s="12" t="inlineStr">
        <is>
          <t>The bell shows the unread count. Opening an alert marks it read and takes you to the record it concerns. Mark all read clears the rest — merely viewing the alerts page marks nothing read.</t>
        </is>
      </c>
    </row>
    <row r="40" ht="39" customHeight="1">
      <c r="A40" s="9" t="inlineStr">
        <is>
          <t>J1</t>
        </is>
      </c>
      <c r="B40" s="10" t="inlineStr">
        <is>
          <t>J — Records and accountability</t>
        </is>
      </c>
      <c r="C40" s="11" t="inlineStr">
        <is>
          <t>Yes</t>
        </is>
      </c>
      <c r="D40" s="10" t="inlineStr">
        <is>
          <t>Move a record through a transition, then read its Timeline and its Progress tab.</t>
        </is>
      </c>
      <c r="E40" s="10" t="inlineStr">
        <is>
          <t>The move, the person who made it, the time and the comment are all recorded, and the record's stage and progress have changed accordingly. Nothing is recorded anonymously.</t>
        </is>
      </c>
    </row>
    <row r="41" ht="26" customHeight="1">
      <c r="A41" s="9" t="inlineStr">
        <is>
          <t>J2</t>
        </is>
      </c>
      <c r="B41" s="12" t="inlineStr">
        <is>
          <t>J — Records and accountability</t>
        </is>
      </c>
      <c r="C41" s="13" t="inlineStr"/>
      <c r="D41" s="12" t="inlineStr">
        <is>
          <t>Open a record where you have view but not edit (ask the administrator to arrange one if none exists).</t>
        </is>
      </c>
      <c r="E41" s="12" t="inlineStr">
        <is>
          <t>The controls you may not use are absent rather than failing when clicked.</t>
        </is>
      </c>
    </row>
  </sheetData>
  <mergeCells count="1">
    <mergeCell ref="A1:E1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9" customWidth="1" min="4" max="4"/>
    <col width="9" customWidth="1" min="5" max="5"/>
    <col width="8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Results — one column per tester</t>
        </is>
      </c>
    </row>
    <row r="3">
      <c r="A3" s="14" t="inlineStr">
        <is>
          <t>Environment (URL)</t>
        </is>
      </c>
      <c r="D3" s="7" t="n"/>
    </row>
    <row r="4">
      <c r="A4" s="14" t="inlineStr">
        <is>
          <t>Build / version tested</t>
        </is>
      </c>
      <c r="D4" s="7" t="n"/>
    </row>
    <row r="5">
      <c r="A5" s="14" t="inlineStr">
        <is>
          <t>Test round (1st / re-test / final)</t>
        </is>
      </c>
      <c r="D5" s="7" t="n"/>
    </row>
    <row r="6">
      <c r="A6" s="14" t="inlineStr">
        <is>
          <t>Date(s) of testing</t>
        </is>
      </c>
      <c r="D6" s="7" t="n"/>
    </row>
    <row r="8">
      <c r="A8" s="8" t="inlineStr">
        <is>
          <t>ID</t>
        </is>
      </c>
      <c r="B8" s="8" t="inlineStr">
        <is>
          <t>Area</t>
        </is>
      </c>
      <c r="C8" s="8" t="inlineStr">
        <is>
          <t>Critical</t>
        </is>
      </c>
      <c r="D8" s="8" t="inlineStr">
        <is>
          <t>Failed by</t>
        </is>
      </c>
      <c r="E8" s="8" t="inlineStr">
        <is>
          <t>Blocked by</t>
        </is>
      </c>
      <c r="F8" s="8" t="inlineStr">
        <is>
          <t>Tested</t>
        </is>
      </c>
      <c r="G8" s="8" t="inlineStr">
        <is>
          <t>Status</t>
        </is>
      </c>
      <c r="H8" s="8" t="inlineStr">
        <is>
          <t>Tester 1</t>
        </is>
      </c>
      <c r="I8" s="8" t="inlineStr">
        <is>
          <t>Tester 2</t>
        </is>
      </c>
      <c r="J8" s="8" t="inlineStr">
        <is>
          <t>Tester 3</t>
        </is>
      </c>
      <c r="K8" s="8" t="inlineStr">
        <is>
          <t>Tester 4</t>
        </is>
      </c>
      <c r="L8" s="8" t="inlineStr">
        <is>
          <t>Tester 5</t>
        </is>
      </c>
      <c r="M8" s="8" t="inlineStr">
        <is>
          <t>Tester 6</t>
        </is>
      </c>
      <c r="N8" s="8" t="inlineStr">
        <is>
          <t>Tester 7</t>
        </is>
      </c>
      <c r="O8" s="8" t="inlineStr">
        <is>
          <t>Tester 8</t>
        </is>
      </c>
    </row>
    <row r="9">
      <c r="A9" s="2" t="inlineStr">
        <is>
          <t>← each tester types their name at the top of their own column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9" t="inlineStr">
        <is>
          <t>A1</t>
        </is>
      </c>
      <c r="B10" s="11" t="inlineStr">
        <is>
          <t>A — Access and sign-in</t>
        </is>
      </c>
      <c r="C10" s="16" t="inlineStr">
        <is>
          <t>Yes</t>
        </is>
      </c>
      <c r="D10" s="16">
        <f>COUNTIF($H10:$O10,"F")</f>
        <v/>
      </c>
      <c r="E10" s="16">
        <f>COUNTIF($H10:$O10,"B")</f>
        <v/>
      </c>
      <c r="F10" s="16">
        <f>COUNTIF($H10:$O10,"P")+COUNTIF($H10:$O10,"F")+COUNTIF($H10:$O10,"B")</f>
        <v/>
      </c>
      <c r="G10" s="16">
        <f>IF(D10&gt;0,"FAILED",IF(E10&gt;0,"BLOCKED",IF(F10&gt;0,"OK","Not tested")))</f>
        <v/>
      </c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9" t="inlineStr">
        <is>
          <t>A2</t>
        </is>
      </c>
      <c r="B11" s="11" t="inlineStr">
        <is>
          <t>A — Access and sign-in</t>
        </is>
      </c>
      <c r="C11" s="16" t="inlineStr"/>
      <c r="D11" s="16">
        <f>COUNTIF($H11:$O11,"F")</f>
        <v/>
      </c>
      <c r="E11" s="16">
        <f>COUNTIF($H11:$O11,"B")</f>
        <v/>
      </c>
      <c r="F11" s="16">
        <f>COUNTIF($H11:$O11,"P")+COUNTIF($H11:$O11,"F")+COUNTIF($H11:$O11,"B")</f>
        <v/>
      </c>
      <c r="G11" s="16">
        <f>IF(D11&gt;0,"FAILED",IF(E11&gt;0,"BLOCKED",IF(F11&gt;0,"OK","Not tested")))</f>
        <v/>
      </c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>
      <c r="A12" s="9" t="inlineStr">
        <is>
          <t>A3</t>
        </is>
      </c>
      <c r="B12" s="11" t="inlineStr">
        <is>
          <t>A — Access and sign-in</t>
        </is>
      </c>
      <c r="C12" s="16" t="inlineStr">
        <is>
          <t>Yes</t>
        </is>
      </c>
      <c r="D12" s="16">
        <f>COUNTIF($H12:$O12,"F")</f>
        <v/>
      </c>
      <c r="E12" s="16">
        <f>COUNTIF($H12:$O12,"B")</f>
        <v/>
      </c>
      <c r="F12" s="16">
        <f>COUNTIF($H12:$O12,"P")+COUNTIF($H12:$O12,"F")+COUNTIF($H12:$O12,"B")</f>
        <v/>
      </c>
      <c r="G12" s="16">
        <f>IF(D12&gt;0,"FAILED",IF(E12&gt;0,"BLOCKED",IF(F12&gt;0,"OK","Not tested")))</f>
        <v/>
      </c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9" t="inlineStr">
        <is>
          <t>A4</t>
        </is>
      </c>
      <c r="B13" s="11" t="inlineStr">
        <is>
          <t>A — Access and sign-in</t>
        </is>
      </c>
      <c r="C13" s="16" t="inlineStr"/>
      <c r="D13" s="16">
        <f>COUNTIF($H13:$O13,"F")</f>
        <v/>
      </c>
      <c r="E13" s="16">
        <f>COUNTIF($H13:$O13,"B")</f>
        <v/>
      </c>
      <c r="F13" s="16">
        <f>COUNTIF($H13:$O13,"P")+COUNTIF($H13:$O13,"F")+COUNTIF($H13:$O13,"B")</f>
        <v/>
      </c>
      <c r="G13" s="16">
        <f>IF(D13&gt;0,"FAILED",IF(E13&gt;0,"BLOCKED",IF(F13&gt;0,"OK","Not tested")))</f>
        <v/>
      </c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>
      <c r="A14" s="9" t="inlineStr">
        <is>
          <t>B1</t>
        </is>
      </c>
      <c r="B14" s="11" t="inlineStr">
        <is>
          <t>B — Reading and monitoring a record</t>
        </is>
      </c>
      <c r="C14" s="16" t="inlineStr"/>
      <c r="D14" s="16">
        <f>COUNTIF($H14:$O14,"F")</f>
        <v/>
      </c>
      <c r="E14" s="16">
        <f>COUNTIF($H14:$O14,"B")</f>
        <v/>
      </c>
      <c r="F14" s="16">
        <f>COUNTIF($H14:$O14,"P")+COUNTIF($H14:$O14,"F")+COUNTIF($H14:$O14,"B")</f>
        <v/>
      </c>
      <c r="G14" s="16">
        <f>IF(D14&gt;0,"FAILED",IF(E14&gt;0,"BLOCKED",IF(F14&gt;0,"OK","Not tested")))</f>
        <v/>
      </c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9" t="inlineStr">
        <is>
          <t>B2</t>
        </is>
      </c>
      <c r="B15" s="11" t="inlineStr">
        <is>
          <t>B — Reading and monitoring a record</t>
        </is>
      </c>
      <c r="C15" s="16" t="inlineStr"/>
      <c r="D15" s="16">
        <f>COUNTIF($H15:$O15,"F")</f>
        <v/>
      </c>
      <c r="E15" s="16">
        <f>COUNTIF($H15:$O15,"B")</f>
        <v/>
      </c>
      <c r="F15" s="16">
        <f>COUNTIF($H15:$O15,"P")+COUNTIF($H15:$O15,"F")+COUNTIF($H15:$O15,"B")</f>
        <v/>
      </c>
      <c r="G15" s="16">
        <f>IF(D15&gt;0,"FAILED",IF(E15&gt;0,"BLOCKED",IF(F15&gt;0,"OK","Not tested")))</f>
        <v/>
      </c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>
      <c r="A16" s="9" t="inlineStr">
        <is>
          <t>B3</t>
        </is>
      </c>
      <c r="B16" s="11" t="inlineStr">
        <is>
          <t>B — Reading and monitoring a record</t>
        </is>
      </c>
      <c r="C16" s="16" t="inlineStr"/>
      <c r="D16" s="16">
        <f>COUNTIF($H16:$O16,"F")</f>
        <v/>
      </c>
      <c r="E16" s="16">
        <f>COUNTIF($H16:$O16,"B")</f>
        <v/>
      </c>
      <c r="F16" s="16">
        <f>COUNTIF($H16:$O16,"P")+COUNTIF($H16:$O16,"F")+COUNTIF($H16:$O16,"B")</f>
        <v/>
      </c>
      <c r="G16" s="16">
        <f>IF(D16&gt;0,"FAILED",IF(E16&gt;0,"BLOCKED",IF(F16&gt;0,"OK","Not tested")))</f>
        <v/>
      </c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9" t="inlineStr">
        <is>
          <t>B4</t>
        </is>
      </c>
      <c r="B17" s="11" t="inlineStr">
        <is>
          <t>B — Reading and monitoring a record</t>
        </is>
      </c>
      <c r="C17" s="16" t="inlineStr"/>
      <c r="D17" s="16">
        <f>COUNTIF($H17:$O17,"F")</f>
        <v/>
      </c>
      <c r="E17" s="16">
        <f>COUNTIF($H17:$O17,"B")</f>
        <v/>
      </c>
      <c r="F17" s="16">
        <f>COUNTIF($H17:$O17,"P")+COUNTIF($H17:$O17,"F")+COUNTIF($H17:$O17,"B")</f>
        <v/>
      </c>
      <c r="G17" s="16">
        <f>IF(D17&gt;0,"FAILED",IF(E17&gt;0,"BLOCKED",IF(F17&gt;0,"OK","Not tested")))</f>
        <v/>
      </c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>
      <c r="A18" s="9" t="inlineStr">
        <is>
          <t>C1</t>
        </is>
      </c>
      <c r="B18" s="11" t="inlineStr">
        <is>
          <t>C — Capturing a delegation report</t>
        </is>
      </c>
      <c r="C18" s="16" t="inlineStr">
        <is>
          <t>Yes</t>
        </is>
      </c>
      <c r="D18" s="16">
        <f>COUNTIF($H18:$O18,"F")</f>
        <v/>
      </c>
      <c r="E18" s="16">
        <f>COUNTIF($H18:$O18,"B")</f>
        <v/>
      </c>
      <c r="F18" s="16">
        <f>COUNTIF($H18:$O18,"P")+COUNTIF($H18:$O18,"F")+COUNTIF($H18:$O18,"B")</f>
        <v/>
      </c>
      <c r="G18" s="16">
        <f>IF(D18&gt;0,"FAILED",IF(E18&gt;0,"BLOCKED",IF(F18&gt;0,"OK","Not tested")))</f>
        <v/>
      </c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9" t="inlineStr">
        <is>
          <t>C2</t>
        </is>
      </c>
      <c r="B19" s="11" t="inlineStr">
        <is>
          <t>C — Capturing a delegation report</t>
        </is>
      </c>
      <c r="C19" s="16" t="inlineStr"/>
      <c r="D19" s="16">
        <f>COUNTIF($H19:$O19,"F")</f>
        <v/>
      </c>
      <c r="E19" s="16">
        <f>COUNTIF($H19:$O19,"B")</f>
        <v/>
      </c>
      <c r="F19" s="16">
        <f>COUNTIF($H19:$O19,"P")+COUNTIF($H19:$O19,"F")+COUNTIF($H19:$O19,"B")</f>
        <v/>
      </c>
      <c r="G19" s="16">
        <f>IF(D19&gt;0,"FAILED",IF(E19&gt;0,"BLOCKED",IF(F19&gt;0,"OK","Not tested")))</f>
        <v/>
      </c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>
      <c r="A20" s="9" t="inlineStr">
        <is>
          <t>C3</t>
        </is>
      </c>
      <c r="B20" s="11" t="inlineStr">
        <is>
          <t>C — Capturing a delegation report</t>
        </is>
      </c>
      <c r="C20" s="16" t="inlineStr"/>
      <c r="D20" s="16">
        <f>COUNTIF($H20:$O20,"F")</f>
        <v/>
      </c>
      <c r="E20" s="16">
        <f>COUNTIF($H20:$O20,"B")</f>
        <v/>
      </c>
      <c r="F20" s="16">
        <f>COUNTIF($H20:$O20,"P")+COUNTIF($H20:$O20,"F")+COUNTIF($H20:$O20,"B")</f>
        <v/>
      </c>
      <c r="G20" s="16">
        <f>IF(D20&gt;0,"FAILED",IF(E20&gt;0,"BLOCKED",IF(F20&gt;0,"OK","Not tested")))</f>
        <v/>
      </c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9" t="inlineStr">
        <is>
          <t>C4</t>
        </is>
      </c>
      <c r="B21" s="11" t="inlineStr">
        <is>
          <t>C — Capturing a delegation report</t>
        </is>
      </c>
      <c r="C21" s="16" t="inlineStr"/>
      <c r="D21" s="16">
        <f>COUNTIF($H21:$O21,"F")</f>
        <v/>
      </c>
      <c r="E21" s="16">
        <f>COUNTIF($H21:$O21,"B")</f>
        <v/>
      </c>
      <c r="F21" s="16">
        <f>COUNTIF($H21:$O21,"P")+COUNTIF($H21:$O21,"F")+COUNTIF($H21:$O21,"B")</f>
        <v/>
      </c>
      <c r="G21" s="16">
        <f>IF(D21&gt;0,"FAILED",IF(E21&gt;0,"BLOCKED",IF(F21&gt;0,"OK","Not tested")))</f>
        <v/>
      </c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>
      <c r="A22" s="9" t="inlineStr">
        <is>
          <t>C5</t>
        </is>
      </c>
      <c r="B22" s="11" t="inlineStr">
        <is>
          <t>C — Capturing a delegation report</t>
        </is>
      </c>
      <c r="C22" s="16" t="inlineStr"/>
      <c r="D22" s="16">
        <f>COUNTIF($H22:$O22,"F")</f>
        <v/>
      </c>
      <c r="E22" s="16">
        <f>COUNTIF($H22:$O22,"B")</f>
        <v/>
      </c>
      <c r="F22" s="16">
        <f>COUNTIF($H22:$O22,"P")+COUNTIF($H22:$O22,"F")+COUNTIF($H22:$O22,"B")</f>
        <v/>
      </c>
      <c r="G22" s="16">
        <f>IF(D22&gt;0,"FAILED",IF(E22&gt;0,"BLOCKED",IF(F22&gt;0,"OK","Not tested")))</f>
        <v/>
      </c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9" t="inlineStr">
        <is>
          <t>D1</t>
        </is>
      </c>
      <c r="B23" s="11" t="inlineStr">
        <is>
          <t>D — Capturing a resolution and an agreement</t>
        </is>
      </c>
      <c r="C23" s="16" t="inlineStr"/>
      <c r="D23" s="16">
        <f>COUNTIF($H23:$O23,"F")</f>
        <v/>
      </c>
      <c r="E23" s="16">
        <f>COUNTIF($H23:$O23,"B")</f>
        <v/>
      </c>
      <c r="F23" s="16">
        <f>COUNTIF($H23:$O23,"P")+COUNTIF($H23:$O23,"F")+COUNTIF($H23:$O23,"B")</f>
        <v/>
      </c>
      <c r="G23" s="16">
        <f>IF(D23&gt;0,"FAILED",IF(E23&gt;0,"BLOCKED",IF(F23&gt;0,"OK","Not tested")))</f>
        <v/>
      </c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>
      <c r="A24" s="9" t="inlineStr">
        <is>
          <t>D2</t>
        </is>
      </c>
      <c r="B24" s="11" t="inlineStr">
        <is>
          <t>D — Capturing a resolution and an agreement</t>
        </is>
      </c>
      <c r="C24" s="16" t="inlineStr"/>
      <c r="D24" s="16">
        <f>COUNTIF($H24:$O24,"F")</f>
        <v/>
      </c>
      <c r="E24" s="16">
        <f>COUNTIF($H24:$O24,"B")</f>
        <v/>
      </c>
      <c r="F24" s="16">
        <f>COUNTIF($H24:$O24,"P")+COUNTIF($H24:$O24,"F")+COUNTIF($H24:$O24,"B")</f>
        <v/>
      </c>
      <c r="G24" s="16">
        <f>IF(D24&gt;0,"FAILED",IF(E24&gt;0,"BLOCKED",IF(F24&gt;0,"OK","Not tested")))</f>
        <v/>
      </c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9" t="inlineStr">
        <is>
          <t>D3</t>
        </is>
      </c>
      <c r="B25" s="11" t="inlineStr">
        <is>
          <t>D — Capturing a resolution and an agreement</t>
        </is>
      </c>
      <c r="C25" s="16" t="inlineStr"/>
      <c r="D25" s="16">
        <f>COUNTIF($H25:$O25,"F")</f>
        <v/>
      </c>
      <c r="E25" s="16">
        <f>COUNTIF($H25:$O25,"B")</f>
        <v/>
      </c>
      <c r="F25" s="16">
        <f>COUNTIF($H25:$O25,"P")+COUNTIF($H25:$O25,"F")+COUNTIF($H25:$O25,"B")</f>
        <v/>
      </c>
      <c r="G25" s="16">
        <f>IF(D25&gt;0,"FAILED",IF(E25&gt;0,"BLOCKED",IF(F25&gt;0,"OK","Not tested")))</f>
        <v/>
      </c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>
      <c r="A26" s="9" t="inlineStr">
        <is>
          <t>E1</t>
        </is>
      </c>
      <c r="B26" s="11" t="inlineStr">
        <is>
          <t>E — Moving a record on, and the ATC publication</t>
        </is>
      </c>
      <c r="C26" s="16" t="inlineStr">
        <is>
          <t>Yes</t>
        </is>
      </c>
      <c r="D26" s="16">
        <f>COUNTIF($H26:$O26,"F")</f>
        <v/>
      </c>
      <c r="E26" s="16">
        <f>COUNTIF($H26:$O26,"B")</f>
        <v/>
      </c>
      <c r="F26" s="16">
        <f>COUNTIF($H26:$O26,"P")+COUNTIF($H26:$O26,"F")+COUNTIF($H26:$O26,"B")</f>
        <v/>
      </c>
      <c r="G26" s="16">
        <f>IF(D26&gt;0,"FAILED",IF(E26&gt;0,"BLOCKED",IF(F26&gt;0,"OK","Not tested")))</f>
        <v/>
      </c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9" t="inlineStr">
        <is>
          <t>E2</t>
        </is>
      </c>
      <c r="B27" s="11" t="inlineStr">
        <is>
          <t>E — Moving a record on, and the ATC publication</t>
        </is>
      </c>
      <c r="C27" s="16" t="inlineStr">
        <is>
          <t>Yes</t>
        </is>
      </c>
      <c r="D27" s="16">
        <f>COUNTIF($H27:$O27,"F")</f>
        <v/>
      </c>
      <c r="E27" s="16">
        <f>COUNTIF($H27:$O27,"B")</f>
        <v/>
      </c>
      <c r="F27" s="16">
        <f>COUNTIF($H27:$O27,"P")+COUNTIF($H27:$O27,"F")+COUNTIF($H27:$O27,"B")</f>
        <v/>
      </c>
      <c r="G27" s="16">
        <f>IF(D27&gt;0,"FAILED",IF(E27&gt;0,"BLOCKED",IF(F27&gt;0,"OK","Not tested")))</f>
        <v/>
      </c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>
      <c r="A28" s="9" t="inlineStr">
        <is>
          <t>E3</t>
        </is>
      </c>
      <c r="B28" s="11" t="inlineStr">
        <is>
          <t>E — Moving a record on, and the ATC publication</t>
        </is>
      </c>
      <c r="C28" s="16" t="inlineStr">
        <is>
          <t>Yes</t>
        </is>
      </c>
      <c r="D28" s="16">
        <f>COUNTIF($H28:$O28,"F")</f>
        <v/>
      </c>
      <c r="E28" s="16">
        <f>COUNTIF($H28:$O28,"B")</f>
        <v/>
      </c>
      <c r="F28" s="16">
        <f>COUNTIF($H28:$O28,"P")+COUNTIF($H28:$O28,"F")+COUNTIF($H28:$O28,"B")</f>
        <v/>
      </c>
      <c r="G28" s="16">
        <f>IF(D28&gt;0,"FAILED",IF(E28&gt;0,"BLOCKED",IF(F28&gt;0,"OK","Not tested")))</f>
        <v/>
      </c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9" t="inlineStr">
        <is>
          <t>E4</t>
        </is>
      </c>
      <c r="B29" s="11" t="inlineStr">
        <is>
          <t>E — Moving a record on, and the ATC publication</t>
        </is>
      </c>
      <c r="C29" s="16" t="inlineStr"/>
      <c r="D29" s="16">
        <f>COUNTIF($H29:$O29,"F")</f>
        <v/>
      </c>
      <c r="E29" s="16">
        <f>COUNTIF($H29:$O29,"B")</f>
        <v/>
      </c>
      <c r="F29" s="16">
        <f>COUNTIF($H29:$O29,"P")+COUNTIF($H29:$O29,"F")+COUNTIF($H29:$O29,"B")</f>
        <v/>
      </c>
      <c r="G29" s="16">
        <f>IF(D29&gt;0,"FAILED",IF(E29&gt;0,"BLOCKED",IF(F29&gt;0,"OK","Not tested")))</f>
        <v/>
      </c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>
      <c r="A30" s="9" t="inlineStr">
        <is>
          <t>F1</t>
        </is>
      </c>
      <c r="B30" s="11" t="inlineStr">
        <is>
          <t>F — Referrals</t>
        </is>
      </c>
      <c r="C30" s="16" t="inlineStr"/>
      <c r="D30" s="16">
        <f>COUNTIF($H30:$O30,"F")</f>
        <v/>
      </c>
      <c r="E30" s="16">
        <f>COUNTIF($H30:$O30,"B")</f>
        <v/>
      </c>
      <c r="F30" s="16">
        <f>COUNTIF($H30:$O30,"P")+COUNTIF($H30:$O30,"F")+COUNTIF($H30:$O30,"B")</f>
        <v/>
      </c>
      <c r="G30" s="16">
        <f>IF(D30&gt;0,"FAILED",IF(E30&gt;0,"BLOCKED",IF(F30&gt;0,"OK","Not tested")))</f>
        <v/>
      </c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9" t="inlineStr">
        <is>
          <t>F2</t>
        </is>
      </c>
      <c r="B31" s="11" t="inlineStr">
        <is>
          <t>F — Referrals</t>
        </is>
      </c>
      <c r="C31" s="16" t="inlineStr">
        <is>
          <t>Yes</t>
        </is>
      </c>
      <c r="D31" s="16">
        <f>COUNTIF($H31:$O31,"F")</f>
        <v/>
      </c>
      <c r="E31" s="16">
        <f>COUNTIF($H31:$O31,"B")</f>
        <v/>
      </c>
      <c r="F31" s="16">
        <f>COUNTIF($H31:$O31,"P")+COUNTIF($H31:$O31,"F")+COUNTIF($H31:$O31,"B")</f>
        <v/>
      </c>
      <c r="G31" s="16">
        <f>IF(D31&gt;0,"FAILED",IF(E31&gt;0,"BLOCKED",IF(F31&gt;0,"OK","Not tested")))</f>
        <v/>
      </c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>
      <c r="A32" s="9" t="inlineStr">
        <is>
          <t>F3</t>
        </is>
      </c>
      <c r="B32" s="11" t="inlineStr">
        <is>
          <t>F — Referrals</t>
        </is>
      </c>
      <c r="C32" s="16" t="inlineStr"/>
      <c r="D32" s="16">
        <f>COUNTIF($H32:$O32,"F")</f>
        <v/>
      </c>
      <c r="E32" s="16">
        <f>COUNTIF($H32:$O32,"B")</f>
        <v/>
      </c>
      <c r="F32" s="16">
        <f>COUNTIF($H32:$O32,"P")+COUNTIF($H32:$O32,"F")+COUNTIF($H32:$O32,"B")</f>
        <v/>
      </c>
      <c r="G32" s="16">
        <f>IF(D32&gt;0,"FAILED",IF(E32&gt;0,"BLOCKED",IF(F32&gt;0,"OK","Not tested")))</f>
        <v/>
      </c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9" t="inlineStr">
        <is>
          <t>F4</t>
        </is>
      </c>
      <c r="B33" s="11" t="inlineStr">
        <is>
          <t>F — Referrals</t>
        </is>
      </c>
      <c r="C33" s="16" t="inlineStr"/>
      <c r="D33" s="16">
        <f>COUNTIF($H33:$O33,"F")</f>
        <v/>
      </c>
      <c r="E33" s="16">
        <f>COUNTIF($H33:$O33,"B")</f>
        <v/>
      </c>
      <c r="F33" s="16">
        <f>COUNTIF($H33:$O33,"P")+COUNTIF($H33:$O33,"F")+COUNTIF($H33:$O33,"B")</f>
        <v/>
      </c>
      <c r="G33" s="16">
        <f>IF(D33&gt;0,"FAILED",IF(E33&gt;0,"BLOCKED",IF(F33&gt;0,"OK","Not tested")))</f>
        <v/>
      </c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>
      <c r="A34" s="9" t="inlineStr">
        <is>
          <t>G1</t>
        </is>
      </c>
      <c r="B34" s="11" t="inlineStr">
        <is>
          <t>G — Documents</t>
        </is>
      </c>
      <c r="C34" s="16" t="inlineStr"/>
      <c r="D34" s="16">
        <f>COUNTIF($H34:$O34,"F")</f>
        <v/>
      </c>
      <c r="E34" s="16">
        <f>COUNTIF($H34:$O34,"B")</f>
        <v/>
      </c>
      <c r="F34" s="16">
        <f>COUNTIF($H34:$O34,"P")+COUNTIF($H34:$O34,"F")+COUNTIF($H34:$O34,"B")</f>
        <v/>
      </c>
      <c r="G34" s="16">
        <f>IF(D34&gt;0,"FAILED",IF(E34&gt;0,"BLOCKED",IF(F34&gt;0,"OK","Not tested")))</f>
        <v/>
      </c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9" t="inlineStr">
        <is>
          <t>G2</t>
        </is>
      </c>
      <c r="B35" s="11" t="inlineStr">
        <is>
          <t>G — Documents</t>
        </is>
      </c>
      <c r="C35" s="16" t="inlineStr"/>
      <c r="D35" s="16">
        <f>COUNTIF($H35:$O35,"F")</f>
        <v/>
      </c>
      <c r="E35" s="16">
        <f>COUNTIF($H35:$O35,"B")</f>
        <v/>
      </c>
      <c r="F35" s="16">
        <f>COUNTIF($H35:$O35,"P")+COUNTIF($H35:$O35,"F")+COUNTIF($H35:$O35,"B")</f>
        <v/>
      </c>
      <c r="G35" s="16">
        <f>IF(D35&gt;0,"FAILED",IF(E35&gt;0,"BLOCKED",IF(F35&gt;0,"OK","Not tested")))</f>
        <v/>
      </c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>
      <c r="A36" s="9" t="inlineStr">
        <is>
          <t>G3</t>
        </is>
      </c>
      <c r="B36" s="11" t="inlineStr">
        <is>
          <t>G — Documents</t>
        </is>
      </c>
      <c r="C36" s="16" t="inlineStr">
        <is>
          <t>Yes</t>
        </is>
      </c>
      <c r="D36" s="16">
        <f>COUNTIF($H36:$O36,"F")</f>
        <v/>
      </c>
      <c r="E36" s="16">
        <f>COUNTIF($H36:$O36,"B")</f>
        <v/>
      </c>
      <c r="F36" s="16">
        <f>COUNTIF($H36:$O36,"P")+COUNTIF($H36:$O36,"F")+COUNTIF($H36:$O36,"B")</f>
        <v/>
      </c>
      <c r="G36" s="16">
        <f>IF(D36&gt;0,"FAILED",IF(E36&gt;0,"BLOCKED",IF(F36&gt;0,"OK","Not tested")))</f>
        <v/>
      </c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9" t="inlineStr">
        <is>
          <t>G4</t>
        </is>
      </c>
      <c r="B37" s="11" t="inlineStr">
        <is>
          <t>G — Documents</t>
        </is>
      </c>
      <c r="C37" s="16" t="inlineStr"/>
      <c r="D37" s="16">
        <f>COUNTIF($H37:$O37,"F")</f>
        <v/>
      </c>
      <c r="E37" s="16">
        <f>COUNTIF($H37:$O37,"B")</f>
        <v/>
      </c>
      <c r="F37" s="16">
        <f>COUNTIF($H37:$O37,"P")+COUNTIF($H37:$O37,"F")+COUNTIF($H37:$O37,"B")</f>
        <v/>
      </c>
      <c r="G37" s="16">
        <f>IF(D37&gt;0,"FAILED",IF(E37&gt;0,"BLOCKED",IF(F37&gt;0,"OK","Not tested")))</f>
        <v/>
      </c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>
      <c r="A38" s="9" t="inlineStr">
        <is>
          <t>G5</t>
        </is>
      </c>
      <c r="B38" s="11" t="inlineStr">
        <is>
          <t>G — Documents</t>
        </is>
      </c>
      <c r="C38" s="16" t="inlineStr"/>
      <c r="D38" s="16">
        <f>COUNTIF($H38:$O38,"F")</f>
        <v/>
      </c>
      <c r="E38" s="16">
        <f>COUNTIF($H38:$O38,"B")</f>
        <v/>
      </c>
      <c r="F38" s="16">
        <f>COUNTIF($H38:$O38,"P")+COUNTIF($H38:$O38,"F")+COUNTIF($H38:$O38,"B")</f>
        <v/>
      </c>
      <c r="G38" s="16">
        <f>IF(D38&gt;0,"FAILED",IF(E38&gt;0,"BLOCKED",IF(F38&gt;0,"OK","Not tested")))</f>
        <v/>
      </c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9" t="inlineStr">
        <is>
          <t>H1</t>
        </is>
      </c>
      <c r="B39" s="11" t="inlineStr">
        <is>
          <t>H — Notes</t>
        </is>
      </c>
      <c r="C39" s="16" t="inlineStr"/>
      <c r="D39" s="16">
        <f>COUNTIF($H39:$O39,"F")</f>
        <v/>
      </c>
      <c r="E39" s="16">
        <f>COUNTIF($H39:$O39,"B")</f>
        <v/>
      </c>
      <c r="F39" s="16">
        <f>COUNTIF($H39:$O39,"P")+COUNTIF($H39:$O39,"F")+COUNTIF($H39:$O39,"B")</f>
        <v/>
      </c>
      <c r="G39" s="16">
        <f>IF(D39&gt;0,"FAILED",IF(E39&gt;0,"BLOCKED",IF(F39&gt;0,"OK","Not tested")))</f>
        <v/>
      </c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>
      <c r="A40" s="9" t="inlineStr">
        <is>
          <t>H2</t>
        </is>
      </c>
      <c r="B40" s="11" t="inlineStr">
        <is>
          <t>H — Notes</t>
        </is>
      </c>
      <c r="C40" s="16" t="inlineStr"/>
      <c r="D40" s="16">
        <f>COUNTIF($H40:$O40,"F")</f>
        <v/>
      </c>
      <c r="E40" s="16">
        <f>COUNTIF($H40:$O40,"B")</f>
        <v/>
      </c>
      <c r="F40" s="16">
        <f>COUNTIF($H40:$O40,"P")+COUNTIF($H40:$O40,"F")+COUNTIF($H40:$O40,"B")</f>
        <v/>
      </c>
      <c r="G40" s="16">
        <f>IF(D40&gt;0,"FAILED",IF(E40&gt;0,"BLOCKED",IF(F40&gt;0,"OK","Not tested")))</f>
        <v/>
      </c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9" t="inlineStr">
        <is>
          <t>I1</t>
        </is>
      </c>
      <c r="B41" s="11" t="inlineStr">
        <is>
          <t>I — Reporting, exports and sharing</t>
        </is>
      </c>
      <c r="C41" s="16" t="inlineStr">
        <is>
          <t>Yes</t>
        </is>
      </c>
      <c r="D41" s="16">
        <f>COUNTIF($H41:$O41,"F")</f>
        <v/>
      </c>
      <c r="E41" s="16">
        <f>COUNTIF($H41:$O41,"B")</f>
        <v/>
      </c>
      <c r="F41" s="16">
        <f>COUNTIF($H41:$O41,"P")+COUNTIF($H41:$O41,"F")+COUNTIF($H41:$O41,"B")</f>
        <v/>
      </c>
      <c r="G41" s="16">
        <f>IF(D41&gt;0,"FAILED",IF(E41&gt;0,"BLOCKED",IF(F41&gt;0,"OK","Not tested")))</f>
        <v/>
      </c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>
      <c r="A42" s="9" t="inlineStr">
        <is>
          <t>I2</t>
        </is>
      </c>
      <c r="B42" s="11" t="inlineStr">
        <is>
          <t>I — Reporting, exports and sharing</t>
        </is>
      </c>
      <c r="C42" s="16" t="inlineStr"/>
      <c r="D42" s="16">
        <f>COUNTIF($H42:$O42,"F")</f>
        <v/>
      </c>
      <c r="E42" s="16">
        <f>COUNTIF($H42:$O42,"B")</f>
        <v/>
      </c>
      <c r="F42" s="16">
        <f>COUNTIF($H42:$O42,"P")+COUNTIF($H42:$O42,"F")+COUNTIF($H42:$O42,"B")</f>
        <v/>
      </c>
      <c r="G42" s="16">
        <f>IF(D42&gt;0,"FAILED",IF(E42&gt;0,"BLOCKED",IF(F42&gt;0,"OK","Not tested")))</f>
        <v/>
      </c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9" t="inlineStr">
        <is>
          <t>I3</t>
        </is>
      </c>
      <c r="B43" s="11" t="inlineStr">
        <is>
          <t>I — Reporting, exports and sharing</t>
        </is>
      </c>
      <c r="C43" s="16" t="inlineStr"/>
      <c r="D43" s="16">
        <f>COUNTIF($H43:$O43,"F")</f>
        <v/>
      </c>
      <c r="E43" s="16">
        <f>COUNTIF($H43:$O43,"B")</f>
        <v/>
      </c>
      <c r="F43" s="16">
        <f>COUNTIF($H43:$O43,"P")+COUNTIF($H43:$O43,"F")+COUNTIF($H43:$O43,"B")</f>
        <v/>
      </c>
      <c r="G43" s="16">
        <f>IF(D43&gt;0,"FAILED",IF(E43&gt;0,"BLOCKED",IF(F43&gt;0,"OK","Not tested")))</f>
        <v/>
      </c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>
      <c r="A44" s="9" t="inlineStr">
        <is>
          <t>I4</t>
        </is>
      </c>
      <c r="B44" s="11" t="inlineStr">
        <is>
          <t>I — Reporting, exports and sharing</t>
        </is>
      </c>
      <c r="C44" s="16" t="inlineStr"/>
      <c r="D44" s="16">
        <f>COUNTIF($H44:$O44,"F")</f>
        <v/>
      </c>
      <c r="E44" s="16">
        <f>COUNTIF($H44:$O44,"B")</f>
        <v/>
      </c>
      <c r="F44" s="16">
        <f>COUNTIF($H44:$O44,"P")+COUNTIF($H44:$O44,"F")+COUNTIF($H44:$O44,"B")</f>
        <v/>
      </c>
      <c r="G44" s="16">
        <f>IF(D44&gt;0,"FAILED",IF(E44&gt;0,"BLOCKED",IF(F44&gt;0,"OK","Not tested")))</f>
        <v/>
      </c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9" t="inlineStr">
        <is>
          <t>I5</t>
        </is>
      </c>
      <c r="B45" s="11" t="inlineStr">
        <is>
          <t>I — Reporting, exports and sharing</t>
        </is>
      </c>
      <c r="C45" s="16" t="inlineStr"/>
      <c r="D45" s="16">
        <f>COUNTIF($H45:$O45,"F")</f>
        <v/>
      </c>
      <c r="E45" s="16">
        <f>COUNTIF($H45:$O45,"B")</f>
        <v/>
      </c>
      <c r="F45" s="16">
        <f>COUNTIF($H45:$O45,"P")+COUNTIF($H45:$O45,"F")+COUNTIF($H45:$O45,"B")</f>
        <v/>
      </c>
      <c r="G45" s="16">
        <f>IF(D45&gt;0,"FAILED",IF(E45&gt;0,"BLOCKED",IF(F45&gt;0,"OK","Not tested")))</f>
        <v/>
      </c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>
      <c r="A46" s="9" t="inlineStr">
        <is>
          <t>J1</t>
        </is>
      </c>
      <c r="B46" s="11" t="inlineStr">
        <is>
          <t>J — Records and accountability</t>
        </is>
      </c>
      <c r="C46" s="16" t="inlineStr">
        <is>
          <t>Yes</t>
        </is>
      </c>
      <c r="D46" s="16">
        <f>COUNTIF($H46:$O46,"F")</f>
        <v/>
      </c>
      <c r="E46" s="16">
        <f>COUNTIF($H46:$O46,"B")</f>
        <v/>
      </c>
      <c r="F46" s="16">
        <f>COUNTIF($H46:$O46,"P")+COUNTIF($H46:$O46,"F")+COUNTIF($H46:$O46,"B")</f>
        <v/>
      </c>
      <c r="G46" s="16">
        <f>IF(D46&gt;0,"FAILED",IF(E46&gt;0,"BLOCKED",IF(F46&gt;0,"OK","Not tested")))</f>
        <v/>
      </c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9" t="inlineStr">
        <is>
          <t>J2</t>
        </is>
      </c>
      <c r="B47" s="11" t="inlineStr">
        <is>
          <t>J — Records and accountability</t>
        </is>
      </c>
      <c r="C47" s="16" t="inlineStr"/>
      <c r="D47" s="16">
        <f>COUNTIF($H47:$O47,"F")</f>
        <v/>
      </c>
      <c r="E47" s="16">
        <f>COUNTIF($H47:$O47,"B")</f>
        <v/>
      </c>
      <c r="F47" s="16">
        <f>COUNTIF($H47:$O47,"P")+COUNTIF($H47:$O47,"F")+COUNTIF($H47:$O47,"B")</f>
        <v/>
      </c>
      <c r="G47" s="16">
        <f>IF(D47&gt;0,"FAILED",IF(E47&gt;0,"BLOCKED",IF(F47&gt;0,"OK","Not tested")))</f>
        <v/>
      </c>
      <c r="H47" s="18" t="n"/>
      <c r="I47" s="18" t="n"/>
      <c r="J47" s="18" t="n"/>
      <c r="K47" s="18" t="n"/>
      <c r="L47" s="18" t="n"/>
      <c r="M47" s="18" t="n"/>
      <c r="N47" s="18" t="n"/>
      <c r="O47" s="18" t="n"/>
    </row>
  </sheetData>
  <autoFilter ref="A8:G47"/>
  <mergeCells count="10">
    <mergeCell ref="A9:G9"/>
    <mergeCell ref="A5:C5"/>
    <mergeCell ref="D5:O5"/>
    <mergeCell ref="A6:C6"/>
    <mergeCell ref="A1:O1"/>
    <mergeCell ref="D4:O4"/>
    <mergeCell ref="A3:C3"/>
    <mergeCell ref="D3:O3"/>
    <mergeCell ref="A4:C4"/>
    <mergeCell ref="D6:O6"/>
  </mergeCells>
  <conditionalFormatting sqref="H10:O47">
    <cfRule type="cellIs" priority="1" operator="equal" dxfId="0">
      <formula>"P"</formula>
    </cfRule>
    <cfRule type="cellIs" priority="2" operator="equal" dxfId="1">
      <formula>"F"</formula>
    </cfRule>
    <cfRule type="cellIs" priority="3" operator="equal" dxfId="2">
      <formula>"B"</formula>
    </cfRule>
    <cfRule type="cellIs" priority="4" operator="equal" dxfId="3">
      <formula>"N"</formula>
    </cfRule>
  </conditionalFormatting>
  <conditionalFormatting sqref="G10:G47">
    <cfRule type="cellIs" priority="5" operator="equal" dxfId="1">
      <formula>"FAILED"</formula>
    </cfRule>
    <cfRule type="cellIs" priority="6" operator="equal" dxfId="2">
      <formula>"BLOCKED"</formula>
    </cfRule>
    <cfRule type="cellIs" priority="7" operator="equal" dxfId="3">
      <formula>"Not tested"</formula>
    </cfRule>
    <cfRule type="cellIs" priority="8" operator="equal" dxfId="0">
      <formula>"OK"</formula>
    </cfRule>
  </conditionalFormatting>
  <dataValidations count="1">
    <dataValidation sqref="H10:O47" showDropDown="0" showInputMessage="0" showErrorMessage="1" allowBlank="1" errorTitle="Record P, F, B or N" error="Use P (pass), F (fail), B (blocked) or N (not applicable)." type="list">
      <formula1>"P,F,B,N"</formula1>
    </dataValidation>
  </dataValidation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58" customWidth="1" min="5" max="5"/>
    <col width="16" customWidth="1" min="6" max="6"/>
    <col width="22" customWidth="1" min="7" max="7"/>
  </cols>
  <sheetData>
    <row r="1">
      <c r="A1" s="1" t="inlineStr">
        <is>
          <t>Defect log</t>
        </is>
      </c>
    </row>
    <row r="2">
      <c r="A2" s="2" t="inlineStr">
        <is>
          <t>One row per defect. Give the scenario's ID in column B so the two tie together.</t>
        </is>
      </c>
    </row>
    <row r="3">
      <c r="A3" s="8" t="inlineStr">
        <is>
          <t>Defect ID</t>
        </is>
      </c>
      <c r="B3" s="8" t="inlineStr">
        <is>
          <t>Scenario</t>
        </is>
      </c>
      <c r="C3" s="8" t="inlineStr">
        <is>
          <t>Area</t>
        </is>
      </c>
      <c r="D3" s="8" t="inlineStr">
        <is>
          <t>Severity</t>
        </is>
      </c>
      <c r="E3" s="8" t="inlineStr">
        <is>
          <t>What happened, and the steps that produced it</t>
        </is>
      </c>
      <c r="F3" s="8" t="inlineStr">
        <is>
          <t>Reported to / date</t>
        </is>
      </c>
      <c r="G3" s="8" t="inlineStr">
        <is>
          <t>Status</t>
        </is>
      </c>
    </row>
    <row r="4" ht="24" customHeight="1">
      <c r="A4" s="11" t="n"/>
      <c r="B4" s="11" t="n"/>
      <c r="C4" s="11" t="n"/>
      <c r="D4" s="11" t="n"/>
      <c r="E4" s="10" t="n"/>
      <c r="F4" s="11" t="n"/>
      <c r="G4" s="11" t="n"/>
    </row>
    <row r="5" ht="24" customHeight="1">
      <c r="A5" s="11" t="n"/>
      <c r="B5" s="11" t="n"/>
      <c r="C5" s="11" t="n"/>
      <c r="D5" s="11" t="n"/>
      <c r="E5" s="10" t="n"/>
      <c r="F5" s="11" t="n"/>
      <c r="G5" s="11" t="n"/>
    </row>
    <row r="6" ht="24" customHeight="1">
      <c r="A6" s="11" t="n"/>
      <c r="B6" s="11" t="n"/>
      <c r="C6" s="11" t="n"/>
      <c r="D6" s="11" t="n"/>
      <c r="E6" s="10" t="n"/>
      <c r="F6" s="11" t="n"/>
      <c r="G6" s="11" t="n"/>
    </row>
    <row r="7" ht="24" customHeight="1">
      <c r="A7" s="11" t="n"/>
      <c r="B7" s="11" t="n"/>
      <c r="C7" s="11" t="n"/>
      <c r="D7" s="11" t="n"/>
      <c r="E7" s="10" t="n"/>
      <c r="F7" s="11" t="n"/>
      <c r="G7" s="11" t="n"/>
    </row>
    <row r="8" ht="24" customHeight="1">
      <c r="A8" s="11" t="n"/>
      <c r="B8" s="11" t="n"/>
      <c r="C8" s="11" t="n"/>
      <c r="D8" s="11" t="n"/>
      <c r="E8" s="10" t="n"/>
      <c r="F8" s="11" t="n"/>
      <c r="G8" s="11" t="n"/>
    </row>
    <row r="9" ht="24" customHeight="1">
      <c r="A9" s="11" t="n"/>
      <c r="B9" s="11" t="n"/>
      <c r="C9" s="11" t="n"/>
      <c r="D9" s="11" t="n"/>
      <c r="E9" s="10" t="n"/>
      <c r="F9" s="11" t="n"/>
      <c r="G9" s="11" t="n"/>
    </row>
    <row r="10" ht="24" customHeight="1">
      <c r="A10" s="11" t="n"/>
      <c r="B10" s="11" t="n"/>
      <c r="C10" s="11" t="n"/>
      <c r="D10" s="11" t="n"/>
      <c r="E10" s="10" t="n"/>
      <c r="F10" s="11" t="n"/>
      <c r="G10" s="11" t="n"/>
    </row>
    <row r="11" ht="24" customHeight="1">
      <c r="A11" s="11" t="n"/>
      <c r="B11" s="11" t="n"/>
      <c r="C11" s="11" t="n"/>
      <c r="D11" s="11" t="n"/>
      <c r="E11" s="10" t="n"/>
      <c r="F11" s="11" t="n"/>
      <c r="G11" s="11" t="n"/>
    </row>
    <row r="12" ht="24" customHeight="1">
      <c r="A12" s="11" t="n"/>
      <c r="B12" s="11" t="n"/>
      <c r="C12" s="11" t="n"/>
      <c r="D12" s="11" t="n"/>
      <c r="E12" s="10" t="n"/>
      <c r="F12" s="11" t="n"/>
      <c r="G12" s="11" t="n"/>
    </row>
    <row r="13" ht="24" customHeight="1">
      <c r="A13" s="11" t="n"/>
      <c r="B13" s="11" t="n"/>
      <c r="C13" s="11" t="n"/>
      <c r="D13" s="11" t="n"/>
      <c r="E13" s="10" t="n"/>
      <c r="F13" s="11" t="n"/>
      <c r="G13" s="11" t="n"/>
    </row>
    <row r="14" ht="24" customHeight="1">
      <c r="A14" s="11" t="n"/>
      <c r="B14" s="11" t="n"/>
      <c r="C14" s="11" t="n"/>
      <c r="D14" s="11" t="n"/>
      <c r="E14" s="10" t="n"/>
      <c r="F14" s="11" t="n"/>
      <c r="G14" s="11" t="n"/>
    </row>
    <row r="15" ht="24" customHeight="1">
      <c r="A15" s="11" t="n"/>
      <c r="B15" s="11" t="n"/>
      <c r="C15" s="11" t="n"/>
      <c r="D15" s="11" t="n"/>
      <c r="E15" s="10" t="n"/>
      <c r="F15" s="11" t="n"/>
      <c r="G15" s="11" t="n"/>
    </row>
    <row r="16" ht="24" customHeight="1">
      <c r="A16" s="11" t="n"/>
      <c r="B16" s="11" t="n"/>
      <c r="C16" s="11" t="n"/>
      <c r="D16" s="11" t="n"/>
      <c r="E16" s="10" t="n"/>
      <c r="F16" s="11" t="n"/>
      <c r="G16" s="11" t="n"/>
    </row>
    <row r="17" ht="24" customHeight="1">
      <c r="A17" s="11" t="n"/>
      <c r="B17" s="11" t="n"/>
      <c r="C17" s="11" t="n"/>
      <c r="D17" s="11" t="n"/>
      <c r="E17" s="10" t="n"/>
      <c r="F17" s="11" t="n"/>
      <c r="G17" s="11" t="n"/>
    </row>
    <row r="18" ht="24" customHeight="1">
      <c r="A18" s="11" t="n"/>
      <c r="B18" s="11" t="n"/>
      <c r="C18" s="11" t="n"/>
      <c r="D18" s="11" t="n"/>
      <c r="E18" s="10" t="n"/>
      <c r="F18" s="11" t="n"/>
      <c r="G18" s="11" t="n"/>
    </row>
    <row r="19" ht="24" customHeight="1">
      <c r="A19" s="11" t="n"/>
      <c r="B19" s="11" t="n"/>
      <c r="C19" s="11" t="n"/>
      <c r="D19" s="11" t="n"/>
      <c r="E19" s="10" t="n"/>
      <c r="F19" s="11" t="n"/>
      <c r="G19" s="11" t="n"/>
    </row>
    <row r="20" ht="24" customHeight="1">
      <c r="A20" s="11" t="n"/>
      <c r="B20" s="11" t="n"/>
      <c r="C20" s="11" t="n"/>
      <c r="D20" s="11" t="n"/>
      <c r="E20" s="10" t="n"/>
      <c r="F20" s="11" t="n"/>
      <c r="G20" s="11" t="n"/>
    </row>
    <row r="21" ht="24" customHeight="1">
      <c r="A21" s="11" t="n"/>
      <c r="B21" s="11" t="n"/>
      <c r="C21" s="11" t="n"/>
      <c r="D21" s="11" t="n"/>
      <c r="E21" s="10" t="n"/>
      <c r="F21" s="11" t="n"/>
      <c r="G21" s="11" t="n"/>
    </row>
    <row r="22" ht="24" customHeight="1">
      <c r="A22" s="11" t="n"/>
      <c r="B22" s="11" t="n"/>
      <c r="C22" s="11" t="n"/>
      <c r="D22" s="11" t="n"/>
      <c r="E22" s="10" t="n"/>
      <c r="F22" s="11" t="n"/>
      <c r="G22" s="11" t="n"/>
    </row>
    <row r="23" ht="24" customHeight="1">
      <c r="A23" s="11" t="n"/>
      <c r="B23" s="11" t="n"/>
      <c r="C23" s="11" t="n"/>
      <c r="D23" s="11" t="n"/>
      <c r="E23" s="10" t="n"/>
      <c r="F23" s="11" t="n"/>
      <c r="G23" s="11" t="n"/>
    </row>
    <row r="24" ht="24" customHeight="1">
      <c r="A24" s="11" t="n"/>
      <c r="B24" s="11" t="n"/>
      <c r="C24" s="11" t="n"/>
      <c r="D24" s="11" t="n"/>
      <c r="E24" s="10" t="n"/>
      <c r="F24" s="11" t="n"/>
      <c r="G24" s="11" t="n"/>
    </row>
    <row r="25" ht="24" customHeight="1">
      <c r="A25" s="11" t="n"/>
      <c r="B25" s="11" t="n"/>
      <c r="C25" s="11" t="n"/>
      <c r="D25" s="11" t="n"/>
      <c r="E25" s="10" t="n"/>
      <c r="F25" s="11" t="n"/>
      <c r="G25" s="11" t="n"/>
    </row>
    <row r="26" ht="24" customHeight="1">
      <c r="A26" s="11" t="n"/>
      <c r="B26" s="11" t="n"/>
      <c r="C26" s="11" t="n"/>
      <c r="D26" s="11" t="n"/>
      <c r="E26" s="10" t="n"/>
      <c r="F26" s="11" t="n"/>
      <c r="G26" s="11" t="n"/>
    </row>
    <row r="27" ht="24" customHeight="1">
      <c r="A27" s="11" t="n"/>
      <c r="B27" s="11" t="n"/>
      <c r="C27" s="11" t="n"/>
      <c r="D27" s="11" t="n"/>
      <c r="E27" s="10" t="n"/>
      <c r="F27" s="11" t="n"/>
      <c r="G27" s="11" t="n"/>
    </row>
    <row r="28" ht="24" customHeight="1">
      <c r="A28" s="11" t="n"/>
      <c r="B28" s="11" t="n"/>
      <c r="C28" s="11" t="n"/>
      <c r="D28" s="11" t="n"/>
      <c r="E28" s="10" t="n"/>
      <c r="F28" s="11" t="n"/>
      <c r="G28" s="11" t="n"/>
    </row>
    <row r="29" ht="24" customHeight="1">
      <c r="A29" s="11" t="n"/>
      <c r="B29" s="11" t="n"/>
      <c r="C29" s="11" t="n"/>
      <c r="D29" s="11" t="n"/>
      <c r="E29" s="10" t="n"/>
      <c r="F29" s="11" t="n"/>
      <c r="G29" s="11" t="n"/>
    </row>
    <row r="30" ht="24" customHeight="1">
      <c r="A30" s="11" t="n"/>
      <c r="B30" s="11" t="n"/>
      <c r="C30" s="11" t="n"/>
      <c r="D30" s="11" t="n"/>
      <c r="E30" s="10" t="n"/>
      <c r="F30" s="11" t="n"/>
      <c r="G30" s="11" t="n"/>
    </row>
    <row r="31" ht="24" customHeight="1">
      <c r="A31" s="11" t="n"/>
      <c r="B31" s="11" t="n"/>
      <c r="C31" s="11" t="n"/>
      <c r="D31" s="11" t="n"/>
      <c r="E31" s="10" t="n"/>
      <c r="F31" s="11" t="n"/>
      <c r="G31" s="11" t="n"/>
    </row>
    <row r="32" ht="24" customHeight="1">
      <c r="A32" s="11" t="n"/>
      <c r="B32" s="11" t="n"/>
      <c r="C32" s="11" t="n"/>
      <c r="D32" s="11" t="n"/>
      <c r="E32" s="10" t="n"/>
      <c r="F32" s="11" t="n"/>
      <c r="G32" s="11" t="n"/>
    </row>
    <row r="33" ht="24" customHeight="1">
      <c r="A33" s="11" t="n"/>
      <c r="B33" s="11" t="n"/>
      <c r="C33" s="11" t="n"/>
      <c r="D33" s="11" t="n"/>
      <c r="E33" s="10" t="n"/>
      <c r="F33" s="11" t="n"/>
      <c r="G33" s="11" t="n"/>
    </row>
    <row r="34" ht="24" customHeight="1">
      <c r="A34" s="11" t="n"/>
      <c r="B34" s="11" t="n"/>
      <c r="C34" s="11" t="n"/>
      <c r="D34" s="11" t="n"/>
      <c r="E34" s="10" t="n"/>
      <c r="F34" s="11" t="n"/>
      <c r="G34" s="11" t="n"/>
    </row>
    <row r="35" ht="24" customHeight="1">
      <c r="A35" s="11" t="n"/>
      <c r="B35" s="11" t="n"/>
      <c r="C35" s="11" t="n"/>
      <c r="D35" s="11" t="n"/>
      <c r="E35" s="10" t="n"/>
      <c r="F35" s="11" t="n"/>
      <c r="G35" s="11" t="n"/>
    </row>
    <row r="36" ht="24" customHeight="1">
      <c r="A36" s="11" t="n"/>
      <c r="B36" s="11" t="n"/>
      <c r="C36" s="11" t="n"/>
      <c r="D36" s="11" t="n"/>
      <c r="E36" s="10" t="n"/>
      <c r="F36" s="11" t="n"/>
      <c r="G36" s="11" t="n"/>
    </row>
    <row r="37" ht="24" customHeight="1">
      <c r="A37" s="11" t="n"/>
      <c r="B37" s="11" t="n"/>
      <c r="C37" s="11" t="n"/>
      <c r="D37" s="11" t="n"/>
      <c r="E37" s="10" t="n"/>
      <c r="F37" s="11" t="n"/>
      <c r="G37" s="11" t="n"/>
    </row>
    <row r="38" ht="24" customHeight="1">
      <c r="A38" s="11" t="n"/>
      <c r="B38" s="11" t="n"/>
      <c r="C38" s="11" t="n"/>
      <c r="D38" s="11" t="n"/>
      <c r="E38" s="10" t="n"/>
      <c r="F38" s="11" t="n"/>
      <c r="G38" s="11" t="n"/>
    </row>
    <row r="39" ht="24" customHeight="1">
      <c r="A39" s="11" t="n"/>
      <c r="B39" s="11" t="n"/>
      <c r="C39" s="11" t="n"/>
      <c r="D39" s="11" t="n"/>
      <c r="E39" s="10" t="n"/>
      <c r="F39" s="11" t="n"/>
      <c r="G39" s="11" t="n"/>
    </row>
    <row r="40" ht="24" customHeight="1">
      <c r="A40" s="11" t="n"/>
      <c r="B40" s="11" t="n"/>
      <c r="C40" s="11" t="n"/>
      <c r="D40" s="11" t="n"/>
      <c r="E40" s="10" t="n"/>
      <c r="F40" s="11" t="n"/>
      <c r="G40" s="11" t="n"/>
    </row>
    <row r="41" ht="24" customHeight="1">
      <c r="A41" s="11" t="n"/>
      <c r="B41" s="11" t="n"/>
      <c r="C41" s="11" t="n"/>
      <c r="D41" s="11" t="n"/>
      <c r="E41" s="10" t="n"/>
      <c r="F41" s="11" t="n"/>
      <c r="G41" s="11" t="n"/>
    </row>
    <row r="42" ht="24" customHeight="1">
      <c r="A42" s="11" t="n"/>
      <c r="B42" s="11" t="n"/>
      <c r="C42" s="11" t="n"/>
      <c r="D42" s="11" t="n"/>
      <c r="E42" s="10" t="n"/>
      <c r="F42" s="11" t="n"/>
      <c r="G42" s="11" t="n"/>
    </row>
    <row r="43" ht="24" customHeight="1">
      <c r="A43" s="11" t="n"/>
      <c r="B43" s="11" t="n"/>
      <c r="C43" s="11" t="n"/>
      <c r="D43" s="11" t="n"/>
      <c r="E43" s="10" t="n"/>
      <c r="F43" s="11" t="n"/>
      <c r="G43" s="11" t="n"/>
    </row>
  </sheetData>
  <mergeCells count="1">
    <mergeCell ref="A1:G1"/>
  </mergeCells>
  <dataValidations count="2">
    <dataValidation sqref="D4:D43" showDropDown="0" showInputMessage="0" showErrorMessage="0" allowBlank="1" type="list">
      <formula1>"S1,S2,S3,S4"</formula1>
    </dataValidation>
    <dataValidation sqref="G4:G43" showDropDown="0" showInputMessage="0" showErrorMessage="0" allowBlank="1" type="list">
      <formula1>"Open,Fixed,Closed,Deferred"</formula1>
    </dataValidation>
  </dataValidation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Summary — are the acceptance criteria met?</t>
        </is>
      </c>
    </row>
    <row r="2">
      <c r="A2" s="2" t="inlineStr">
        <is>
          <t>Counted live from Results and the Defect log as the section types</t>
        </is>
      </c>
    </row>
    <row r="4" ht="18" customHeight="1">
      <c r="A4" s="4" t="inlineStr">
        <is>
          <t>By tester</t>
        </is>
      </c>
    </row>
    <row r="5">
      <c r="B5" s="8" t="inlineStr">
        <is>
          <t>Tester</t>
        </is>
      </c>
      <c r="C5" s="8" t="inlineStr">
        <is>
          <t>Passed</t>
        </is>
      </c>
      <c r="D5" s="8" t="inlineStr">
        <is>
          <t>Failed</t>
        </is>
      </c>
      <c r="E5" s="8" t="inlineStr">
        <is>
          <t>Blocked</t>
        </is>
      </c>
      <c r="F5" s="8" t="inlineStr">
        <is>
          <t>N/A</t>
        </is>
      </c>
      <c r="G5" s="8" t="inlineStr">
        <is>
          <t>Tested</t>
        </is>
      </c>
    </row>
    <row r="6">
      <c r="B6" s="19">
        <f>IF(Results!H9="","(unnamed)",Results!H9)</f>
        <v/>
      </c>
      <c r="C6" s="19">
        <f>COUNTIF(Results!H$10:H$47,"P")</f>
        <v/>
      </c>
      <c r="D6" s="19">
        <f>COUNTIF(Results!H$10:H$47,"F")</f>
        <v/>
      </c>
      <c r="E6" s="19">
        <f>COUNTIF(Results!H$10:H$47,"B")</f>
        <v/>
      </c>
      <c r="F6" s="19">
        <f>COUNTIF(Results!H$10:H$47,"N")</f>
        <v/>
      </c>
      <c r="G6" s="20">
        <f>SUM(C6:F6)</f>
        <v/>
      </c>
    </row>
    <row r="7">
      <c r="B7" s="19">
        <f>IF(Results!I9="","(unnamed)",Results!I9)</f>
        <v/>
      </c>
      <c r="C7" s="19">
        <f>COUNTIF(Results!I$10:I$47,"P")</f>
        <v/>
      </c>
      <c r="D7" s="19">
        <f>COUNTIF(Results!I$10:I$47,"F")</f>
        <v/>
      </c>
      <c r="E7" s="19">
        <f>COUNTIF(Results!I$10:I$47,"B")</f>
        <v/>
      </c>
      <c r="F7" s="19">
        <f>COUNTIF(Results!I$10:I$47,"N")</f>
        <v/>
      </c>
      <c r="G7" s="20">
        <f>SUM(C7:F7)</f>
        <v/>
      </c>
    </row>
    <row r="8">
      <c r="B8" s="19">
        <f>IF(Results!J9="","(unnamed)",Results!J9)</f>
        <v/>
      </c>
      <c r="C8" s="19">
        <f>COUNTIF(Results!J$10:J$47,"P")</f>
        <v/>
      </c>
      <c r="D8" s="19">
        <f>COUNTIF(Results!J$10:J$47,"F")</f>
        <v/>
      </c>
      <c r="E8" s="19">
        <f>COUNTIF(Results!J$10:J$47,"B")</f>
        <v/>
      </c>
      <c r="F8" s="19">
        <f>COUNTIF(Results!J$10:J$47,"N")</f>
        <v/>
      </c>
      <c r="G8" s="20">
        <f>SUM(C8:F8)</f>
        <v/>
      </c>
    </row>
    <row r="9">
      <c r="B9" s="19">
        <f>IF(Results!K9="","(unnamed)",Results!K9)</f>
        <v/>
      </c>
      <c r="C9" s="19">
        <f>COUNTIF(Results!K$10:K$47,"P")</f>
        <v/>
      </c>
      <c r="D9" s="19">
        <f>COUNTIF(Results!K$10:K$47,"F")</f>
        <v/>
      </c>
      <c r="E9" s="19">
        <f>COUNTIF(Results!K$10:K$47,"B")</f>
        <v/>
      </c>
      <c r="F9" s="19">
        <f>COUNTIF(Results!K$10:K$47,"N")</f>
        <v/>
      </c>
      <c r="G9" s="20">
        <f>SUM(C9:F9)</f>
        <v/>
      </c>
    </row>
    <row r="10">
      <c r="B10" s="19">
        <f>IF(Results!L9="","(unnamed)",Results!L9)</f>
        <v/>
      </c>
      <c r="C10" s="19">
        <f>COUNTIF(Results!L$10:L$47,"P")</f>
        <v/>
      </c>
      <c r="D10" s="19">
        <f>COUNTIF(Results!L$10:L$47,"F")</f>
        <v/>
      </c>
      <c r="E10" s="19">
        <f>COUNTIF(Results!L$10:L$47,"B")</f>
        <v/>
      </c>
      <c r="F10" s="19">
        <f>COUNTIF(Results!L$10:L$47,"N")</f>
        <v/>
      </c>
      <c r="G10" s="20">
        <f>SUM(C10:F10)</f>
        <v/>
      </c>
    </row>
    <row r="11">
      <c r="B11" s="19">
        <f>IF(Results!M9="","(unnamed)",Results!M9)</f>
        <v/>
      </c>
      <c r="C11" s="19">
        <f>COUNTIF(Results!M$10:M$47,"P")</f>
        <v/>
      </c>
      <c r="D11" s="19">
        <f>COUNTIF(Results!M$10:M$47,"F")</f>
        <v/>
      </c>
      <c r="E11" s="19">
        <f>COUNTIF(Results!M$10:M$47,"B")</f>
        <v/>
      </c>
      <c r="F11" s="19">
        <f>COUNTIF(Results!M$10:M$47,"N")</f>
        <v/>
      </c>
      <c r="G11" s="20">
        <f>SUM(C11:F11)</f>
        <v/>
      </c>
    </row>
    <row r="12">
      <c r="B12" s="19">
        <f>IF(Results!N9="","(unnamed)",Results!N9)</f>
        <v/>
      </c>
      <c r="C12" s="19">
        <f>COUNTIF(Results!N$10:N$47,"P")</f>
        <v/>
      </c>
      <c r="D12" s="19">
        <f>COUNTIF(Results!N$10:N$47,"F")</f>
        <v/>
      </c>
      <c r="E12" s="19">
        <f>COUNTIF(Results!N$10:N$47,"B")</f>
        <v/>
      </c>
      <c r="F12" s="19">
        <f>COUNTIF(Results!N$10:N$47,"N")</f>
        <v/>
      </c>
      <c r="G12" s="20">
        <f>SUM(C12:F12)</f>
        <v/>
      </c>
    </row>
    <row r="13">
      <c r="B13" s="19">
        <f>IF(Results!O9="","(unnamed)",Results!O9)</f>
        <v/>
      </c>
      <c r="C13" s="19">
        <f>COUNTIF(Results!O$10:O$47,"P")</f>
        <v/>
      </c>
      <c r="D13" s="19">
        <f>COUNTIF(Results!O$10:O$47,"F")</f>
        <v/>
      </c>
      <c r="E13" s="19">
        <f>COUNTIF(Results!O$10:O$47,"B")</f>
        <v/>
      </c>
      <c r="F13" s="19">
        <f>COUNTIF(Results!O$10:O$47,"N")</f>
        <v/>
      </c>
      <c r="G13" s="20">
        <f>SUM(C13:F13)</f>
        <v/>
      </c>
    </row>
    <row r="15" ht="18" customHeight="1">
      <c r="A15" s="4" t="inlineStr">
        <is>
          <t>By scenario</t>
        </is>
      </c>
    </row>
    <row r="16">
      <c r="B16" s="8" t="inlineStr">
        <is>
          <t>Status</t>
        </is>
      </c>
      <c r="C16" s="8" t="inlineStr">
        <is>
          <t>Count</t>
        </is>
      </c>
    </row>
    <row r="17">
      <c r="B17" s="19" t="inlineStr">
        <is>
          <t>FAILED</t>
        </is>
      </c>
      <c r="C17" s="19">
        <f>COUNTIF(Results!G10:G47,"FAILED")</f>
        <v/>
      </c>
    </row>
    <row r="18">
      <c r="B18" s="19" t="inlineStr">
        <is>
          <t>BLOCKED</t>
        </is>
      </c>
      <c r="C18" s="19">
        <f>COUNTIF(Results!G10:G47,"BLOCKED")</f>
        <v/>
      </c>
    </row>
    <row r="19">
      <c r="B19" s="19" t="inlineStr">
        <is>
          <t>OK</t>
        </is>
      </c>
      <c r="C19" s="19">
        <f>COUNTIF(Results!G10:G47,"OK")</f>
        <v/>
      </c>
    </row>
    <row r="20">
      <c r="B20" s="19" t="inlineStr">
        <is>
          <t>Not tested</t>
        </is>
      </c>
      <c r="C20" s="19">
        <f>COUNTIF(Results!G10:G47,"Not tested")</f>
        <v/>
      </c>
    </row>
    <row r="22" ht="18" customHeight="1">
      <c r="A22" s="4" t="inlineStr">
        <is>
          <t>Critical scenarios — all must pass</t>
        </is>
      </c>
    </row>
    <row r="23">
      <c r="B23" s="19" t="inlineStr">
        <is>
          <t>Critical scenarios in total</t>
        </is>
      </c>
      <c r="C23" s="20">
        <f>COUNTIF(Results!C10:C47,"Yes")</f>
        <v/>
      </c>
    </row>
    <row r="24">
      <c r="B24" s="19" t="inlineStr">
        <is>
          <t>Failed by at least one tester</t>
        </is>
      </c>
      <c r="C24" s="20">
        <f>COUNTIFS(Results!C10:C47,"Yes",Results!D10:D47,"&gt;0")</f>
        <v/>
      </c>
    </row>
    <row r="25">
      <c r="B25" s="19" t="inlineStr">
        <is>
          <t>Blocked for at least one tester</t>
        </is>
      </c>
      <c r="C25" s="20">
        <f>COUNTIFS(Results!C10:C47,"Yes",Results!E10:E47,"&gt;0")</f>
        <v/>
      </c>
    </row>
    <row r="26">
      <c r="B26" s="19" t="inlineStr">
        <is>
          <t>Not tested yet</t>
        </is>
      </c>
      <c r="C26" s="20">
        <f>COUNTIFS(Results!C10:C47,"Yes",Results!F10:F47,"=0")</f>
        <v/>
      </c>
    </row>
    <row r="28" ht="18" customHeight="1">
      <c r="A28" s="4" t="inlineStr">
        <is>
          <t>Open defects by severity</t>
        </is>
      </c>
    </row>
    <row r="29">
      <c r="B29" s="19" t="inlineStr">
        <is>
          <t>S1</t>
        </is>
      </c>
      <c r="C29" s="19">
        <f>COUNTIFS('Defect log'!$D$4:$D$43,"S1",'Defect log'!$G$4:$G$43,"Open")</f>
        <v/>
      </c>
    </row>
    <row r="30">
      <c r="B30" s="19" t="inlineStr">
        <is>
          <t>S2</t>
        </is>
      </c>
      <c r="C30" s="19">
        <f>COUNTIFS('Defect log'!$D$4:$D$43,"S2",'Defect log'!$G$4:$G$43,"Open")</f>
        <v/>
      </c>
    </row>
    <row r="31">
      <c r="B31" s="19" t="inlineStr">
        <is>
          <t>S3</t>
        </is>
      </c>
      <c r="C31" s="19">
        <f>COUNTIFS('Defect log'!$D$4:$D$43,"S3",'Defect log'!$G$4:$G$43,"Open")</f>
        <v/>
      </c>
    </row>
    <row r="32">
      <c r="B32" s="19" t="inlineStr">
        <is>
          <t>S4</t>
        </is>
      </c>
      <c r="C32" s="19">
        <f>COUNTIFS('Defect log'!$D$4:$D$43,"S4",'Defect log'!$G$4:$G$43,"Open")</f>
        <v/>
      </c>
    </row>
    <row r="34" ht="22" customHeight="1">
      <c r="B34" s="6" t="inlineStr">
        <is>
          <t>ACCEPTANCE</t>
        </is>
      </c>
      <c r="C34" s="21">
        <f>IF(OR(C24&gt;0,C25&gt;0,C26&gt;0,C29&gt;0,C30&gt;0),"NOT YET MET — see the counts above","ACCEPTANCE CRITERIA MET")</f>
        <v/>
      </c>
    </row>
    <row r="35">
      <c r="B35" s="22" t="inlineStr">
        <is>
          <t>This checks criteria 1 and 2. Criterion 3 — a workaround for every other open defect — is a judgement for the section: record it on the Sign-off sheet.</t>
        </is>
      </c>
    </row>
    <row r="37" ht="18" customHeight="1">
      <c r="A37" s="4" t="inlineStr">
        <is>
          <t>The criteria being checked (from the form)</t>
        </is>
      </c>
    </row>
    <row r="38">
      <c r="B38" s="3" t="inlineStr">
        <is>
          <t>1. Every scenario marked * has passed.</t>
        </is>
      </c>
    </row>
    <row r="39">
      <c r="B39" s="3" t="inlineStr">
        <is>
          <t>2. No Severity 1 or Severity 2 defect is still open.</t>
        </is>
      </c>
    </row>
    <row r="40">
      <c r="B40" s="3" t="inlineStr">
        <is>
          <t>3. Every other open defect has a workaround the section has agreed and recorded here.</t>
        </is>
      </c>
    </row>
    <row r="42" ht="18" customHeight="1">
      <c r="A42" s="4" t="inlineStr">
        <is>
          <t>Scenarios failing for any tester, by area</t>
        </is>
      </c>
    </row>
    <row r="43">
      <c r="B43" s="19" t="inlineStr">
        <is>
          <t>A — Access and sign-in</t>
        </is>
      </c>
      <c r="C43" s="19">
        <f>COUNTIFS(Results!B10:B47,"A — Access and sign-in",Results!G10:G47,"FAILED")</f>
        <v/>
      </c>
    </row>
    <row r="44">
      <c r="B44" s="19" t="inlineStr">
        <is>
          <t>B — Reading and monitoring a record</t>
        </is>
      </c>
      <c r="C44" s="19">
        <f>COUNTIFS(Results!B10:B47,"B — Reading and monitoring a record",Results!G10:G47,"FAILED")</f>
        <v/>
      </c>
    </row>
    <row r="45">
      <c r="B45" s="19" t="inlineStr">
        <is>
          <t>C — Capturing a delegation report</t>
        </is>
      </c>
      <c r="C45" s="19">
        <f>COUNTIFS(Results!B10:B47,"C — Capturing a delegation report",Results!G10:G47,"FAILED")</f>
        <v/>
      </c>
    </row>
    <row r="46">
      <c r="B46" s="19" t="inlineStr">
        <is>
          <t>D — Capturing a resolution and an agreement</t>
        </is>
      </c>
      <c r="C46" s="19">
        <f>COUNTIFS(Results!B10:B47,"D — Capturing a resolution and an agreement",Results!G10:G47,"FAILED")</f>
        <v/>
      </c>
    </row>
    <row r="47">
      <c r="B47" s="19" t="inlineStr">
        <is>
          <t>E — Moving a record on, and the ATC publication</t>
        </is>
      </c>
      <c r="C47" s="19">
        <f>COUNTIFS(Results!B10:B47,"E — Moving a record on, and the ATC publication",Results!G10:G47,"FAILED")</f>
        <v/>
      </c>
    </row>
    <row r="48">
      <c r="B48" s="19" t="inlineStr">
        <is>
          <t>F — Referrals</t>
        </is>
      </c>
      <c r="C48" s="19">
        <f>COUNTIFS(Results!B10:B47,"F — Referrals",Results!G10:G47,"FAILED")</f>
        <v/>
      </c>
    </row>
    <row r="49">
      <c r="B49" s="19" t="inlineStr">
        <is>
          <t>G — Documents</t>
        </is>
      </c>
      <c r="C49" s="19">
        <f>COUNTIFS(Results!B10:B47,"G — Documents",Results!G10:G47,"FAILED")</f>
        <v/>
      </c>
    </row>
    <row r="50">
      <c r="B50" s="19" t="inlineStr">
        <is>
          <t>H — Notes</t>
        </is>
      </c>
      <c r="C50" s="19">
        <f>COUNTIFS(Results!B10:B47,"H — Notes",Results!G10:G47,"FAILED")</f>
        <v/>
      </c>
    </row>
    <row r="51">
      <c r="B51" s="19" t="inlineStr">
        <is>
          <t>I — Reporting, exports and sharing</t>
        </is>
      </c>
      <c r="C51" s="19">
        <f>COUNTIFS(Results!B10:B47,"I — Reporting, exports and sharing",Results!G10:G47,"FAILED")</f>
        <v/>
      </c>
    </row>
    <row r="52">
      <c r="B52" s="19" t="inlineStr">
        <is>
          <t>J — Records and accountability</t>
        </is>
      </c>
      <c r="C52" s="19">
        <f>COUNTIFS(Results!B10:B47,"J — Records and accountability",Results!G10:G47,"FAILED")</f>
        <v/>
      </c>
    </row>
    <row r="53">
      <c r="B53" s="19" t="inlineStr">
        <is>
          <t>Defects logged in total</t>
        </is>
      </c>
      <c r="C53" s="20">
        <f>COUNTA('Defect log'!$A$4:$A$43)</f>
        <v/>
      </c>
    </row>
  </sheetData>
  <mergeCells count="12">
    <mergeCell ref="B38:G38"/>
    <mergeCell ref="A1:G1"/>
    <mergeCell ref="C34:G34"/>
    <mergeCell ref="A22:G22"/>
    <mergeCell ref="A4:G4"/>
    <mergeCell ref="B35:G35"/>
    <mergeCell ref="B40:G40"/>
    <mergeCell ref="A15:G15"/>
    <mergeCell ref="A42:G42"/>
    <mergeCell ref="B39:G39"/>
    <mergeCell ref="A28:G28"/>
    <mergeCell ref="A37:G37"/>
  </mergeCells>
  <pageMargins left="0.4" right="0.4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94" customWidth="1" min="3" max="3"/>
  </cols>
  <sheetData>
    <row r="1">
      <c r="A1" s="1" t="inlineStr">
        <is>
          <t>Expected behaviour — do not log these as defects</t>
        </is>
      </c>
    </row>
    <row r="2">
      <c r="A2" s="2" t="inlineStr">
        <is>
          <t>Deliberate, and confirmed with the section. Note them in your comments only if they cause a problem for the section's work.</t>
        </is>
      </c>
    </row>
    <row r="4">
      <c r="A4" s="8" t="inlineStr">
        <is>
          <t>#</t>
        </is>
      </c>
      <c r="B4" s="8" t="inlineStr">
        <is>
          <t>Behaviour</t>
        </is>
      </c>
      <c r="C4" s="8" t="inlineStr">
        <is>
          <t>What it actually is</t>
        </is>
      </c>
    </row>
    <row r="5" ht="39" customHeight="1">
      <c r="A5" s="23" t="inlineStr">
        <is>
          <t>1</t>
        </is>
      </c>
      <c r="B5" s="23" t="inlineStr">
        <is>
          <t>A blocked move may look unblocked</t>
        </is>
      </c>
      <c r="C5" s="12" t="inlineStr">
        <is>
          <t>The Referrals tab's Conditions column can show a dash for the report's closing move even though it needs the ATC update. The confirmation page is the authority on whether a move may be taken.</t>
        </is>
      </c>
    </row>
    <row r="6" ht="26" customHeight="1">
      <c r="A6" s="24" t="inlineStr">
        <is>
          <t>2</t>
        </is>
      </c>
      <c r="B6" s="24" t="inlineStr">
        <is>
          <t>An agreement's first stage is not reachable</t>
        </is>
      </c>
      <c r="C6" s="10" t="inlineStr">
        <is>
          <t>Submitted for tabling on an international agreement has no incoming move, so a record starts at Agreement Tabled – referred to Committee .</t>
        </is>
      </c>
    </row>
    <row r="7" ht="26" customHeight="1">
      <c r="A7" s="23" t="inlineStr">
        <is>
          <t>3</t>
        </is>
      </c>
      <c r="B7" s="23" t="inlineStr">
        <is>
          <t>Lists are not paged</t>
        </is>
      </c>
      <c r="C7" s="12" t="inlineStr">
        <is>
          <t>Registers, alerts and the timeline show a fixed number of rows without page controls. Use search and the filters to narrow a long list.</t>
        </is>
      </c>
    </row>
    <row r="8" ht="26" customHeight="1">
      <c r="A8" s="24" t="inlineStr">
        <is>
          <t>4</t>
        </is>
      </c>
      <c r="B8" s="24" t="inlineStr">
        <is>
          <t>The header search box is decorative</t>
        </is>
      </c>
      <c r="C8" s="10" t="inlineStr">
        <is>
          <t>The search box in the page header does not search anything. Use the Search on the page you are working in.</t>
        </is>
      </c>
    </row>
    <row r="9" ht="39" customHeight="1">
      <c r="A9" s="23" t="inlineStr">
        <is>
          <t>5</t>
        </is>
      </c>
      <c r="B9" s="23" t="inlineStr">
        <is>
          <t>The report type does not change an export</t>
        </is>
      </c>
      <c r="C9" s="12" t="inlineStr">
        <is>
          <t>Choosing Referrals or Activity changes what is previewed on screen, but a workbook, PDF or web-page export always carries the summary, breakdowns, register, activity and referrals. The CSV is the register only.</t>
        </is>
      </c>
    </row>
    <row r="10" ht="26" customHeight="1">
      <c r="A10" s="24" t="inlineStr">
        <is>
          <t>6</t>
        </is>
      </c>
      <c r="B10" s="24" t="inlineStr">
        <is>
          <t>A share is fixed once created</t>
        </is>
      </c>
      <c r="C10" s="10" t="inlineStr">
        <is>
          <t>A share link's recipients, expiry and message cannot be changed afterwards, and only an administrator can revoke it. It also stops working if the account that created it is removed.</t>
        </is>
      </c>
    </row>
    <row r="11" ht="39" customHeight="1">
      <c r="A11" s="23" t="inlineStr">
        <is>
          <t>7</t>
        </is>
      </c>
      <c r="B11" s="23" t="inlineStr">
        <is>
          <t>Email needs configuration</t>
        </is>
      </c>
      <c r="C11" s="12" t="inlineStr">
        <is>
          <t>Alert and shared-report email depends on the mail service and the background worker being configured and running. If email does not arrive, the in-app bell is still accurate — raise it with the administrator.</t>
        </is>
      </c>
    </row>
    <row r="12" ht="26" customHeight="1">
      <c r="A12" s="24" t="inlineStr">
        <is>
          <t>8</t>
        </is>
      </c>
      <c r="B12" s="24" t="inlineStr">
        <is>
          <t>Detaching keeps the file</t>
        </is>
      </c>
      <c r="C12" s="10" t="inlineStr">
        <is>
          <t>Detaching removes the link from the record only; the file stays in SharePoint. Re-uploading the same file name into the same folder becomes a new version.</t>
        </is>
      </c>
    </row>
    <row r="13" ht="26" customHeight="1">
      <c r="A13" s="23" t="inlineStr">
        <is>
          <t>9</t>
        </is>
      </c>
      <c r="B13" s="23" t="inlineStr">
        <is>
          <t>Document links expire</t>
        </is>
      </c>
      <c r="C13" s="12" t="inlineStr">
        <is>
          <t>A SharePoint address resolved by PWMS is short-lived. Send the record, not the resolved address.</t>
        </is>
      </c>
    </row>
    <row r="14" ht="26" customHeight="1">
      <c r="A14" s="24" t="inlineStr">
        <is>
          <t>10</t>
        </is>
      </c>
      <c r="B14" s="24" t="inlineStr">
        <is>
          <t>Reference numbers restart each January</t>
        </is>
      </c>
      <c r="C14" s="10" t="inlineStr">
        <is>
          <t>A delegation report's and an agreement's reference begin again at 0001 each year, so the full reference including the year should always be quoted.</t>
        </is>
      </c>
    </row>
    <row r="15" ht="39" customHeight="1">
      <c r="A15" s="23" t="inlineStr">
        <is>
          <t>11</t>
        </is>
      </c>
      <c r="B15" s="23" t="inlineStr">
        <is>
          <t>Changing the stage on the edit form</t>
        </is>
      </c>
      <c r="C15" s="12" t="inlineStr">
        <is>
          <t>The edit form can move a record's stage without taking a transition. It is an administrator's correction tool: it checks no requirement and records no move. If you used it while testing, say so — it is not a defect.</t>
        </is>
      </c>
    </row>
  </sheetData>
  <mergeCells count="1">
    <mergeCell ref="A1:C1"/>
  </mergeCell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22" customWidth="1" min="4" max="4"/>
  </cols>
  <sheetData>
    <row r="1">
      <c r="A1" s="1" t="inlineStr">
        <is>
          <t>Sign-off</t>
        </is>
      </c>
    </row>
    <row r="2">
      <c r="A2" s="2" t="inlineStr">
        <is>
          <t>Complete alongside the signed printable form</t>
        </is>
      </c>
    </row>
    <row r="4" ht="18" customHeight="1">
      <c r="A4" s="4" t="inlineStr">
        <is>
          <t>Decision</t>
        </is>
      </c>
    </row>
    <row r="5">
      <c r="B5" s="19" t="inlineStr">
        <is>
          <t>☐</t>
        </is>
      </c>
      <c r="C5" s="19" t="inlineStr">
        <is>
          <t>Accept</t>
        </is>
      </c>
    </row>
    <row r="6">
      <c r="B6" s="19" t="inlineStr">
        <is>
          <t>☐</t>
        </is>
      </c>
      <c r="C6" s="19" t="inlineStr">
        <is>
          <t>Accept with the workarounds recorded in the Defect log</t>
        </is>
      </c>
    </row>
    <row r="7">
      <c r="B7" s="19" t="inlineStr">
        <is>
          <t>☐</t>
        </is>
      </c>
      <c r="C7" s="19" t="inlineStr">
        <is>
          <t>Not accepted — reasons recorded below</t>
        </is>
      </c>
    </row>
    <row r="9" ht="18" customHeight="1">
      <c r="A9" s="4" t="inlineStr">
        <is>
          <t>Agreed workarounds, and anything carried forward</t>
        </is>
      </c>
    </row>
    <row r="10" ht="20" customHeight="1">
      <c r="B10" s="25" t="n"/>
      <c r="C10" s="25" t="n"/>
      <c r="D10" s="25" t="n"/>
    </row>
    <row r="11" ht="20" customHeight="1">
      <c r="B11" s="25" t="n"/>
      <c r="C11" s="25" t="n"/>
      <c r="D11" s="25" t="n"/>
    </row>
    <row r="12" ht="20" customHeight="1">
      <c r="B12" s="25" t="n"/>
      <c r="C12" s="25" t="n"/>
      <c r="D12" s="25" t="n"/>
    </row>
    <row r="13" ht="20" customHeight="1">
      <c r="B13" s="25" t="n"/>
      <c r="C13" s="25" t="n"/>
      <c r="D13" s="25" t="n"/>
    </row>
    <row r="15" ht="18" customHeight="1">
      <c r="A15" s="4" t="inlineStr">
        <is>
          <t>Overall comments</t>
        </is>
      </c>
    </row>
    <row r="16" ht="20" customHeight="1">
      <c r="B16" s="25" t="n"/>
      <c r="C16" s="25" t="n"/>
      <c r="D16" s="25" t="n"/>
    </row>
    <row r="17" ht="20" customHeight="1">
      <c r="B17" s="25" t="n"/>
      <c r="C17" s="25" t="n"/>
      <c r="D17" s="25" t="n"/>
    </row>
    <row r="18" ht="20" customHeight="1">
      <c r="B18" s="25" t="n"/>
      <c r="C18" s="25" t="n"/>
      <c r="D18" s="25" t="n"/>
    </row>
    <row r="19" ht="20" customHeight="1">
      <c r="B19" s="25" t="n"/>
      <c r="C19" s="25" t="n"/>
      <c r="D19" s="25" t="n"/>
    </row>
    <row r="20" ht="20" customHeight="1">
      <c r="B20" s="25" t="n"/>
      <c r="C20" s="25" t="n"/>
      <c r="D20" s="25" t="n"/>
    </row>
    <row r="21" ht="20" customHeight="1">
      <c r="B21" s="25" t="n"/>
      <c r="C21" s="25" t="n"/>
      <c r="D21" s="25" t="n"/>
    </row>
    <row r="23" ht="18" customHeight="1">
      <c r="A23" s="4" t="inlineStr">
        <is>
          <t>Signatures</t>
        </is>
      </c>
    </row>
    <row r="24">
      <c r="B24" s="8" t="inlineStr"/>
      <c r="C24" s="8" t="inlineStr">
        <is>
          <t>Name and signature</t>
        </is>
      </c>
      <c r="D24" s="8" t="inlineStr">
        <is>
          <t>Date</t>
        </is>
      </c>
    </row>
    <row r="25" ht="34" customHeight="1">
      <c r="B25" s="6" t="inlineStr">
        <is>
          <t>Tested by (tester)</t>
        </is>
      </c>
      <c r="C25" s="25" t="n"/>
      <c r="D25" s="25" t="n"/>
    </row>
    <row r="26" ht="34" customHeight="1">
      <c r="B26" s="6" t="inlineStr">
        <is>
          <t>Reviewed by (section leader)</t>
        </is>
      </c>
      <c r="C26" s="25" t="n"/>
      <c r="D26" s="25" t="n"/>
    </row>
    <row r="27" ht="34" customHeight="1">
      <c r="B27" s="6" t="inlineStr">
        <is>
          <t>Accepted by (business owner)</t>
        </is>
      </c>
      <c r="C27" s="25" t="n"/>
      <c r="D27" s="25" t="n"/>
    </row>
    <row r="29" ht="18" customHeight="1">
      <c r="A29" s="4" t="inlineStr">
        <is>
          <t>Attachments</t>
        </is>
      </c>
    </row>
    <row r="30">
      <c r="B30" s="19" t="inlineStr">
        <is>
          <t>List the screenshots and files, each named with its scenario ID</t>
        </is>
      </c>
    </row>
    <row r="31" ht="20" customHeight="1">
      <c r="B31" s="25" t="n"/>
      <c r="C31" s="25" t="n"/>
      <c r="D31" s="25" t="n"/>
    </row>
    <row r="32" ht="20" customHeight="1">
      <c r="B32" s="25" t="n"/>
      <c r="C32" s="25" t="n"/>
      <c r="D32" s="25" t="n"/>
    </row>
    <row r="33" ht="20" customHeight="1">
      <c r="B33" s="25" t="n"/>
      <c r="C33" s="25" t="n"/>
      <c r="D33" s="25" t="n"/>
    </row>
    <row r="35" ht="30" customHeight="1">
      <c r="B35" s="22" t="inlineStr">
        <is>
          <t>By signing, the tester confirms the scenarios were carried out as described and the results recorded are accurate. Return this workbook with the completed form to the section leader.</t>
        </is>
      </c>
    </row>
  </sheetData>
  <mergeCells count="11">
    <mergeCell ref="A1:D1"/>
    <mergeCell ref="A23:D23"/>
    <mergeCell ref="A9:D9"/>
    <mergeCell ref="C6:D6"/>
    <mergeCell ref="C7:D7"/>
    <mergeCell ref="A4:D4"/>
    <mergeCell ref="B35:D35"/>
    <mergeCell ref="C5:D5"/>
    <mergeCell ref="A15:D15"/>
    <mergeCell ref="A29:D29"/>
    <mergeCell ref="B30:D30"/>
  </mergeCells>
  <pageMargins left="0.4" right="0.4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2026-09-22T17:39:03Z</dcterms:created>
  <dcterms:modified xsi:type="dcterms:W3CDTF">2026-09-22T17:39:03Z</dcterms:modified>
</cp:coreProperties>
</file>